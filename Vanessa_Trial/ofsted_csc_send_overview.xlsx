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W:\Performance Improvement Team\Data to Insight\Tools\SEND Benchmarking\"/>
    </mc:Choice>
  </mc:AlternateContent>
  <xr:revisionPtr revIDLastSave="0" documentId="8_{643168D2-714F-4F04-9A49-FD74858FDDD8}" xr6:coauthVersionLast="47" xr6:coauthVersionMax="47" xr10:uidLastSave="{00000000-0000-0000-0000-000000000000}"/>
  <bookViews>
    <workbookView xWindow="-110" yWindow="-110" windowWidth="19420" windowHeight="10300" xr2:uid="{00000000-000D-0000-FFFF-FFFF00000000}"/>
  </bookViews>
  <sheets>
    <sheet name="ofsted_cs_send_inspec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3" i="1" l="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sharedStrings.xml><?xml version="1.0" encoding="utf-8"?>
<sst xmlns="http://schemas.openxmlformats.org/spreadsheetml/2006/main" count="1087" uniqueCount="754">
  <si>
    <t>80428</t>
  </si>
  <si>
    <t>822</t>
  </si>
  <si>
    <t>E</t>
  </si>
  <si>
    <t>E06000055</t>
  </si>
  <si>
    <t>303, 826, 941, 311, 937, 839, 886, 935, 881, 866</t>
  </si>
  <si>
    <t>bedford</t>
  </si>
  <si>
    <t>https://files.ofsted.gov.uk/v1/file/50268244</t>
  </si>
  <si>
    <t>1.0</t>
  </si>
  <si>
    <t>01/01/1900</t>
  </si>
  <si>
    <t>18/11/24</t>
  </si>
  <si>
    <t>22/11/24</t>
  </si>
  <si>
    <t>04/02/25</t>
  </si>
  <si>
    <t>5 years</t>
  </si>
  <si>
    <t>18/11/29</t>
  </si>
  <si>
    <t>The local area partnership’s special educational needs and/or disabilities (SEND) arrangements typically lead to positive experiences and outcomes for children and young people with SEND. The local area partnership is taking action where improvements are needed.  The next full area SEND inspection will be within approximately five years.</t>
  </si>
  <si>
    <t>80429</t>
  </si>
  <si>
    <t>330</t>
  </si>
  <si>
    <t>WM</t>
  </si>
  <si>
    <t>E08000025</t>
  </si>
  <si>
    <t>892, 352, 380, 391, 353, 889, 373, 806, 852, 355</t>
  </si>
  <si>
    <t>birmingham</t>
  </si>
  <si>
    <t>https://files.ofsted.gov.uk/v1/file/50284703</t>
  </si>
  <si>
    <t>2.0</t>
  </si>
  <si>
    <t>27/05/2021</t>
  </si>
  <si>
    <t>23/06/25</t>
  </si>
  <si>
    <t>27/06/25</t>
  </si>
  <si>
    <t>15/08/25</t>
  </si>
  <si>
    <t>3 years</t>
  </si>
  <si>
    <t>23/06/28</t>
  </si>
  <si>
    <t>The local area partnership’s arrangements lead to inconsistent experiences and outcomes for children and young people with special educational needs and/or disabilities (SEND). The local area partnership must work jointly to make improvements. The next full area SEND inspection will be within approximately three years. Ofsted and the Care Quality Commission ask that the local area partnership updates and publishes its strategic plan based on the recommendations set out in this report.</t>
  </si>
  <si>
    <t>80431</t>
  </si>
  <si>
    <t>890</t>
  </si>
  <si>
    <t>NW</t>
  </si>
  <si>
    <t>E06000009</t>
  </si>
  <si>
    <t>805, 806, 394, 341, 393, 807, 354, 880, 355, 861</t>
  </si>
  <si>
    <t>blackpool</t>
  </si>
  <si>
    <t>https://files.ofsted.gov.uk/v1/file/50253401</t>
  </si>
  <si>
    <t>20/05/24</t>
  </si>
  <si>
    <t>24/05/24</t>
  </si>
  <si>
    <t>25/07/24</t>
  </si>
  <si>
    <t>20/05/27</t>
  </si>
  <si>
    <t>The local area partnership’s arrangements lead to inconsistent experiences and outcomes for children and young people with special educational needs and/or disabilities (SEND). The local area partnership must work jointly to make improvements.  The next full area SEND inspection will be within approximately three years.</t>
  </si>
  <si>
    <t>80432</t>
  </si>
  <si>
    <t>350</t>
  </si>
  <si>
    <t>E08000001</t>
  </si>
  <si>
    <t>354, 831, 353, 357, 335, 355, 889, 331, 373, 874</t>
  </si>
  <si>
    <t>bolton</t>
  </si>
  <si>
    <t>https://files.ofsted.gov.uk/v1/file/50255791</t>
  </si>
  <si>
    <t>27/05/2016</t>
  </si>
  <si>
    <t>17/06/24</t>
  </si>
  <si>
    <t>21/06/24</t>
  </si>
  <si>
    <t>30/08/24</t>
  </si>
  <si>
    <t>17/06/29</t>
  </si>
  <si>
    <t>80436</t>
  </si>
  <si>
    <t>867</t>
  </si>
  <si>
    <t>SE</t>
  </si>
  <si>
    <t>E06000036</t>
  </si>
  <si>
    <t>919, 850, 825, 931, 869, 938, 803, 823, 916, 865</t>
  </si>
  <si>
    <t>bracknell forest</t>
  </si>
  <si>
    <t>https://files.ofsted.gov.uk/v1/file/50273313</t>
  </si>
  <si>
    <t>3.0</t>
  </si>
  <si>
    <t>03/02/25</t>
  </si>
  <si>
    <t>07/02/25</t>
  </si>
  <si>
    <t>01/04/25</t>
  </si>
  <si>
    <t>18 months</t>
  </si>
  <si>
    <t>03/08/26</t>
  </si>
  <si>
    <t>There are widespread and/or systemic failings leading to significant concerns about the experiences and outcomes of children and young people with special educational needs and/or disabilities (SEND), which the local area partnership must address urgently. A monitoring inspection will be carried out within approximately 18 months. The next full reinspection will be within approximately three years. As a result of this inspection, His Majesty’s Chief Inspector (HMCI) requires the local area partnership to prepare and submit a priority action plan (area SEND) to address the identified areas for priority action.</t>
  </si>
  <si>
    <t>80438</t>
  </si>
  <si>
    <t>846</t>
  </si>
  <si>
    <t>E06000043</t>
  </si>
  <si>
    <t>801, 882, 302, 314, 800, 383, 209, 826, 212, 816</t>
  </si>
  <si>
    <t>brighton and hove</t>
  </si>
  <si>
    <t>https://files.ofsted.gov.uk/v1/file/50218659</t>
  </si>
  <si>
    <t>27/03/23</t>
  </si>
  <si>
    <t>31/03/23</t>
  </si>
  <si>
    <t>31/05/23</t>
  </si>
  <si>
    <t>27/03/28</t>
  </si>
  <si>
    <t>The local area partnership’s arrangements typically lead to positive experiences and outcomes for children and young people with special educational needs and/or disabilities (SEND). The local area partnership is taking action where improvements are needed.  The next full Area SEND inspection will be within approximately 5 years.</t>
  </si>
  <si>
    <t>80443</t>
  </si>
  <si>
    <t>351</t>
  </si>
  <si>
    <t>E08000002</t>
  </si>
  <si>
    <t>888, 908, 392, 886, 332, 891, 808, 926, 887, 303</t>
  </si>
  <si>
    <t>bury</t>
  </si>
  <si>
    <t>https://files.ofsted.gov.uk/v1/file/50246030</t>
  </si>
  <si>
    <t>15/05/2019</t>
  </si>
  <si>
    <t>12/02/24</t>
  </si>
  <si>
    <t>16/02/24</t>
  </si>
  <si>
    <t>07/05/24</t>
  </si>
  <si>
    <t>12/08/25</t>
  </si>
  <si>
    <t>There are widespread and/or systemic failings leading to significant concerns about the experiences and outcomes of children and young people with special educational needs and/or disabilities (SEND), which the local area partnership must address urgently. A monitoring inspection will be carried out within approximately 18 months. The next full reinspection will be within approximately three years. As a result of this inspection, HMCI requires the local area partnership to prepare and submit a priority action plan (area SEND) to address the identified areas for priority action.</t>
  </si>
  <si>
    <t>80445</t>
  </si>
  <si>
    <t>873</t>
  </si>
  <si>
    <t>E10000003</t>
  </si>
  <si>
    <t>931, 919, 825, 803, 937, 916, 938, 823, 850, 869</t>
  </si>
  <si>
    <t>cambridgeshire</t>
  </si>
  <si>
    <t>https://files.ofsted.gov.uk/v1/file/50276860</t>
  </si>
  <si>
    <t>13/05/25</t>
  </si>
  <si>
    <t>None</t>
  </si>
  <si>
    <t>Last inspection date not provided</t>
  </si>
  <si>
    <t>The local area partnership’s arrangements lead to inconsistent experiences and outcomes for children and young people with special educational needs and/or disabilities (SEND). The local area partnership must work jointly to make improvements. The next full area SEND inspection will take place within approximately three years. Ofsted and the CQC ask that the local area partnership updates and publishes its strategic plan based on the recommendations set out in this report.</t>
  </si>
  <si>
    <t>80451</t>
  </si>
  <si>
    <t>384</t>
  </si>
  <si>
    <t>YH</t>
  </si>
  <si>
    <t>E08000036</t>
  </si>
  <si>
    <t>332, 370, 894, 372, 925, 357, 371, 813, 841, 888</t>
  </si>
  <si>
    <t>wakefield</t>
  </si>
  <si>
    <t>https://files.ofsted.gov.uk/v1/file/50253460</t>
  </si>
  <si>
    <t>18/03/24</t>
  </si>
  <si>
    <t>22/03/24</t>
  </si>
  <si>
    <t>26/07/24</t>
  </si>
  <si>
    <t>18/03/29</t>
  </si>
  <si>
    <t>80454</t>
  </si>
  <si>
    <t>908</t>
  </si>
  <si>
    <t>SW</t>
  </si>
  <si>
    <t>E06000052</t>
  </si>
  <si>
    <t>926, 351, 845, 830, 929, 935, 878, 891, 888, 886</t>
  </si>
  <si>
    <t>cornwall</t>
  </si>
  <si>
    <t>https://files.ofsted.gov.uk/v1/file/50215730</t>
  </si>
  <si>
    <t>07/07/2017</t>
  </si>
  <si>
    <t>06/02/23</t>
  </si>
  <si>
    <t>10/02/23</t>
  </si>
  <si>
    <t>05/05/23</t>
  </si>
  <si>
    <t>06/02/26</t>
  </si>
  <si>
    <t>The local area partnership’s arrangements lead to inconsistent experiences and outcomes for children and young people with special educational needs and/or disabilities (SEND). The local area partnership must work jointly to make improvements.  The next full area SEND inspection will be within approximately 3 years.</t>
  </si>
  <si>
    <t>2733690</t>
  </si>
  <si>
    <t>942</t>
  </si>
  <si>
    <t>E10000006</t>
  </si>
  <si>
    <t>943, 925, 884, 888, 813, 384, 860, 929, 371, 370</t>
  </si>
  <si>
    <t>cumberland</t>
  </si>
  <si>
    <t>https://files.ofsted.gov.uk/v1/file/50286341</t>
  </si>
  <si>
    <t>07/07/25</t>
  </si>
  <si>
    <t>11/07/25</t>
  </si>
  <si>
    <t>09/09/25</t>
  </si>
  <si>
    <t>07/07/28</t>
  </si>
  <si>
    <t>80458</t>
  </si>
  <si>
    <t>841</t>
  </si>
  <si>
    <t>NE</t>
  </si>
  <si>
    <t>E06000005</t>
  </si>
  <si>
    <t>390, 808, 332, 384, 888, 894, 372, 357, 840, 371</t>
  </si>
  <si>
    <t>darlington</t>
  </si>
  <si>
    <t>https://files.ofsted.gov.uk/v1/file/50268246</t>
  </si>
  <si>
    <t>28/01/2022</t>
  </si>
  <si>
    <t>25/11/24</t>
  </si>
  <si>
    <t>29/11/24</t>
  </si>
  <si>
    <t>25/11/27</t>
  </si>
  <si>
    <t>The local area partnership’s arrangements lead to inconsistent experiences and outcomes for children and young people with special educational needs and/or disabilities (SEND). The local area partnership must work jointly to make improvements. The next full area SEND inspection will be within approximately three years. Ofsted and the Care Quality Commission (CQC) ask that the local area partnership updates and publishes its strategic plan based on the recommendations set out in this report.</t>
  </si>
  <si>
    <t>80460</t>
  </si>
  <si>
    <t>830</t>
  </si>
  <si>
    <t>EM</t>
  </si>
  <si>
    <t>E10000007</t>
  </si>
  <si>
    <t>891, 933, 935, 926, 860, 878, 893, 929, 838, 885</t>
  </si>
  <si>
    <t>derbyshire</t>
  </si>
  <si>
    <t>https://files.ofsted.gov.uk/v1/file/50261625</t>
  </si>
  <si>
    <t>14/11/24</t>
  </si>
  <si>
    <t>There are widespread and/or systemic failings leading to significant concerns about the experiences and outcomes of children and young people with special educational needs and/or disabilities (SEND), which the local area partnership must address urgently. A monitoring inspection will be carried out within approximately 18 months. The next full reinspection will be within approximately three years. As a result of this inspection, His Majesty’s Chief Inspector requires the local area partnership to prepare and submit a priority action plan (area SEND) to address the identified areas for priority action.</t>
  </si>
  <si>
    <t>2532283</t>
  </si>
  <si>
    <t>838</t>
  </si>
  <si>
    <t>E10000009</t>
  </si>
  <si>
    <t>933, 878, 893, 935, 885, 881, 830, 886, 938, 815</t>
  </si>
  <si>
    <t>dorset</t>
  </si>
  <si>
    <t>https://files.ofsted.gov.uk/v1/file/50246984</t>
  </si>
  <si>
    <t>27/01/2017</t>
  </si>
  <si>
    <t>11/03/24</t>
  </si>
  <si>
    <t>15/03/24</t>
  </si>
  <si>
    <t>15/05/24</t>
  </si>
  <si>
    <t>11/03/29</t>
  </si>
  <si>
    <t>80464</t>
  </si>
  <si>
    <t>332</t>
  </si>
  <si>
    <t>E08000027</t>
  </si>
  <si>
    <t>384, 894, 808, 372, 370, 887, 357, 888, 841, 925</t>
  </si>
  <si>
    <t>dudley</t>
  </si>
  <si>
    <t>https://files.ofsted.gov.uk/v1/file/50271042</t>
  </si>
  <si>
    <t>20/01/25</t>
  </si>
  <si>
    <t>24/01/25</t>
  </si>
  <si>
    <t>11/03/25</t>
  </si>
  <si>
    <t>20/01/28</t>
  </si>
  <si>
    <t>80465</t>
  </si>
  <si>
    <t>840</t>
  </si>
  <si>
    <t>E06000047</t>
  </si>
  <si>
    <t>876, 344, 390, 807, 372, 370, 394, 393, 808, 841</t>
  </si>
  <si>
    <t>durham</t>
  </si>
  <si>
    <t>https://files.ofsted.gov.uk/v1/file/50255956</t>
  </si>
  <si>
    <t>24/06/24</t>
  </si>
  <si>
    <t>28/06/24</t>
  </si>
  <si>
    <t>03/09/24</t>
  </si>
  <si>
    <t>24/06/27</t>
  </si>
  <si>
    <t>The local area partnership’s arrangements lead to inconsistent experiences and outcomes for children and young people with special educational needs and/or disabilities (SEND). The local area partnership must work jointly to make improvements. The next full area SEND inspection will be within approximately 3 years. Ofsted and CQC ask that the local area partnership updates and publishes its strategic plan based on the recommendations set out in this report.</t>
  </si>
  <si>
    <t>80467</t>
  </si>
  <si>
    <t>845</t>
  </si>
  <si>
    <t>E10000011</t>
  </si>
  <si>
    <t>878, 886, 908, 926, 881, 351, 838, 938, 929, 839</t>
  </si>
  <si>
    <t>east sussex</t>
  </si>
  <si>
    <t>https://files.ofsted.gov.uk/v1/file/50268245</t>
  </si>
  <si>
    <t>09/12/2016</t>
  </si>
  <si>
    <t>18/11/27</t>
  </si>
  <si>
    <t>80469</t>
  </si>
  <si>
    <t>390</t>
  </si>
  <si>
    <t>E08000037</t>
  </si>
  <si>
    <t>841, 357, 393, 372, 808, 840, 807, 394, 332, 384</t>
  </si>
  <si>
    <t>gateshead</t>
  </si>
  <si>
    <t>https://files.ofsted.gov.uk/v1/file/50224180</t>
  </si>
  <si>
    <t>10/02/2017</t>
  </si>
  <si>
    <t>22/05/23</t>
  </si>
  <si>
    <t>26/05/23</t>
  </si>
  <si>
    <t>24/07/23</t>
  </si>
  <si>
    <t>22/05/26</t>
  </si>
  <si>
    <t>80470</t>
  </si>
  <si>
    <t>916</t>
  </si>
  <si>
    <t>E10000013</t>
  </si>
  <si>
    <t>937, 938, 850, 802, 865, 895, 855, 931, 881, 885</t>
  </si>
  <si>
    <t>gloucestershire</t>
  </si>
  <si>
    <t>https://files.ofsted.gov.uk/v1/file/50240683</t>
  </si>
  <si>
    <t>11/12/23</t>
  </si>
  <si>
    <t>15/12/23</t>
  </si>
  <si>
    <t>01/03/24</t>
  </si>
  <si>
    <t>11/12/26</t>
  </si>
  <si>
    <t>80471</t>
  </si>
  <si>
    <t>876</t>
  </si>
  <si>
    <t>E06000006</t>
  </si>
  <si>
    <t>342, 840, 344, 394, 807, 370, 390, 372, 808, 343</t>
  </si>
  <si>
    <t>halton</t>
  </si>
  <si>
    <t>https://files.ofsted.gov.uk/v1/file/50238390</t>
  </si>
  <si>
    <t>31/03/2017</t>
  </si>
  <si>
    <t>20/11/23</t>
  </si>
  <si>
    <t>24/11/23</t>
  </si>
  <si>
    <t>26/01/24</t>
  </si>
  <si>
    <t>20/05/25</t>
  </si>
  <si>
    <t>80473</t>
  </si>
  <si>
    <t>805</t>
  </si>
  <si>
    <t>E06000001</t>
  </si>
  <si>
    <t>807, 394, 393, 890, 806, 390, 840, 876, 372, 340</t>
  </si>
  <si>
    <t>hartlepool</t>
  </si>
  <si>
    <t>https://files.ofsted.gov.uk/v1/file/50216721</t>
  </si>
  <si>
    <t>07/10/2016</t>
  </si>
  <si>
    <t>13/03/23</t>
  </si>
  <si>
    <t>17/03/23</t>
  </si>
  <si>
    <t>16/05/23</t>
  </si>
  <si>
    <t>13/03/28</t>
  </si>
  <si>
    <t>The local area partnership’s arrangements typically lead to positive experiences and outcomes for children and young people with special educational needs and/or disabilities (SEND). The local area partnership is taking action where improvements are needed. The next full area SEND inspection will be within approximately 5 years. Ofsted and the CQC ask that the local area partnership updates and publishes its strategic plan based on the recommendations set out in this report.</t>
  </si>
  <si>
    <t>80474</t>
  </si>
  <si>
    <t>884</t>
  </si>
  <si>
    <t>E06000019</t>
  </si>
  <si>
    <t>943, 860, 925, 893, 933, 888, 935, 811, 815, 830</t>
  </si>
  <si>
    <t>herefordshire</t>
  </si>
  <si>
    <t>https://files.ofsted.gov.uk/v1/file/50268466</t>
  </si>
  <si>
    <t>30/09/2016</t>
  </si>
  <si>
    <t>02/12/24</t>
  </si>
  <si>
    <t>06/12/24</t>
  </si>
  <si>
    <t>02/12/27</t>
  </si>
  <si>
    <t>80475</t>
  </si>
  <si>
    <t>919</t>
  </si>
  <si>
    <t>E10000015</t>
  </si>
  <si>
    <t>931, 825, 873, 867, 938, 305, 850, 358, 916, 869</t>
  </si>
  <si>
    <t>hertfordshire</t>
  </si>
  <si>
    <t>https://files.ofsted.gov.uk/v1/file/50232445</t>
  </si>
  <si>
    <t>08/07/2016</t>
  </si>
  <si>
    <t>10/07/23</t>
  </si>
  <si>
    <t>14/07/23</t>
  </si>
  <si>
    <t>10/11/23</t>
  </si>
  <si>
    <t>10/01/25</t>
  </si>
  <si>
    <t>There are widespread and/or systemic failings leading to significant concerns about the experiences and outcomes of children and young people with special educational needs and/or disabilities (SEND), which the local area partnership must address urgently.  A monitoring inspection will be carried out within approximately 18 months. The next full reinspection will be within approximately 3 years.</t>
  </si>
  <si>
    <t>80477</t>
  </si>
  <si>
    <t>810</t>
  </si>
  <si>
    <t>E06000010</t>
  </si>
  <si>
    <t>333, 336, 861, 335, 812, 354, 806, 371, 831, 372</t>
  </si>
  <si>
    <t>kingston upon hull</t>
  </si>
  <si>
    <t>https://files.ofsted.gov.uk/v1/file/50238910</t>
  </si>
  <si>
    <t>17/10/2019</t>
  </si>
  <si>
    <t>02/02/24</t>
  </si>
  <si>
    <t>20/11/26</t>
  </si>
  <si>
    <t>80478</t>
  </si>
  <si>
    <t>382</t>
  </si>
  <si>
    <t>E08000034</t>
  </si>
  <si>
    <t>373, 357, 851, 831, 879, 354, 351, 384, 908, 390</t>
  </si>
  <si>
    <t>kirklees</t>
  </si>
  <si>
    <t>https://files.ofsted.gov.uk/v1/file/50283933</t>
  </si>
  <si>
    <t>11/02/2022</t>
  </si>
  <si>
    <t>16/06/25</t>
  </si>
  <si>
    <t>20/06/25</t>
  </si>
  <si>
    <t>05/08/25</t>
  </si>
  <si>
    <t>16/06/28</t>
  </si>
  <si>
    <t>80480</t>
  </si>
  <si>
    <t>888</t>
  </si>
  <si>
    <t>E10000017</t>
  </si>
  <si>
    <t>925, 351, 332, 884, 841, 808, 384, 891, 929, 359</t>
  </si>
  <si>
    <t>lancashire</t>
  </si>
  <si>
    <t>https://files.ofsted.gov.uk/v1/file/50268954</t>
  </si>
  <si>
    <t>09/12/24</t>
  </si>
  <si>
    <t>13/12/24</t>
  </si>
  <si>
    <t>12/02/25</t>
  </si>
  <si>
    <t>09/06/26</t>
  </si>
  <si>
    <t>80484</t>
  </si>
  <si>
    <t>925</t>
  </si>
  <si>
    <t>E10000019</t>
  </si>
  <si>
    <t>888, 384, 884, 813, 926, 935, 332, 940, 830, 933</t>
  </si>
  <si>
    <t>lincolnshire</t>
  </si>
  <si>
    <t>https://files.ofsted.gov.uk/v1/file/50276861</t>
  </si>
  <si>
    <t>05/10/2018</t>
  </si>
  <si>
    <t>10/02/25</t>
  </si>
  <si>
    <t>14/02/25</t>
  </si>
  <si>
    <t>10/02/28</t>
  </si>
  <si>
    <t>The local area partnership’s arrangements lead to inconsistent experiences and outcomes for children and young people with special educational needs and/or disabilities (SEND). The local area partnership must work jointly to make improvements. The next full area SEND inspection will be within approximately three years. Ofsted and Care Quality Commission (CQC) ask that the local area partnership updates and publishes its strategic plan based on the recommendations set out in this report.</t>
  </si>
  <si>
    <t>80486</t>
  </si>
  <si>
    <t>301</t>
  </si>
  <si>
    <t>GL</t>
  </si>
  <si>
    <t>E09000002</t>
  </si>
  <si>
    <t>308, 821, 313, 333, 336, 307, 304, 312, 874, 203</t>
  </si>
  <si>
    <t>barking and dagenham</t>
  </si>
  <si>
    <t>https://files.ofsted.gov.uk/v1/file/50256050</t>
  </si>
  <si>
    <t>08/07/24</t>
  </si>
  <si>
    <t>12/07/24</t>
  </si>
  <si>
    <t>06/09/24</t>
  </si>
  <si>
    <t>08/07/27</t>
  </si>
  <si>
    <t>80488</t>
  </si>
  <si>
    <t>303</t>
  </si>
  <si>
    <t>E09000004</t>
  </si>
  <si>
    <t>311, 822, 886, 881, 883, 887, 826, 866, 839, 351</t>
  </si>
  <si>
    <t>bexley</t>
  </si>
  <si>
    <t>https://files.ofsted.gov.uk/v1/file/50240171</t>
  </si>
  <si>
    <t>04/12/23</t>
  </si>
  <si>
    <t>08/12/23</t>
  </si>
  <si>
    <t>23/02/24</t>
  </si>
  <si>
    <t>04/06/25</t>
  </si>
  <si>
    <t>There are widespread and/or systemic failings leading to significant concerns about the experiences and outcomes of children and young people with special educational needs and/or disabilities (SEND), which the local area partnership must address urgently.  A monitoring inspection will be carried out within approximately 18 months. The next full reinspection will be within approximately three years.</t>
  </si>
  <si>
    <t>80489</t>
  </si>
  <si>
    <t>304</t>
  </si>
  <si>
    <t>E09000005</t>
  </si>
  <si>
    <t>307, 316, 313, 309, 821, 871, 301, 308, 320, 317</t>
  </si>
  <si>
    <t>brent</t>
  </si>
  <si>
    <t>https://files.ofsted.gov.uk/v1/file/50272928</t>
  </si>
  <si>
    <t>19/05/2017</t>
  </si>
  <si>
    <t>27/01/25</t>
  </si>
  <si>
    <t>31/01/25</t>
  </si>
  <si>
    <t>27/03/25</t>
  </si>
  <si>
    <t>27/01/30</t>
  </si>
  <si>
    <t>The local area partnership’s special educational needs and/or disability (SEND) arrangements typically lead to positive experiences and outcomes for children and young people with SEND. The local area partnership is taking action where improvements are needed. The next full area SEND inspection will be within approximately 5 years. Ofsted and CQC ask that the local area partnership updates and publishes its strategic plan based on the recommendations set out in this report.</t>
  </si>
  <si>
    <t>80494</t>
  </si>
  <si>
    <t>308</t>
  </si>
  <si>
    <t>E09000010</t>
  </si>
  <si>
    <t>301, 309, 821, 330, 352, 307, 320, 203, 306, 355</t>
  </si>
  <si>
    <t>enfield</t>
  </si>
  <si>
    <t>https://files.ofsted.gov.uk/v1/file/50225063</t>
  </si>
  <si>
    <t>20/03/23</t>
  </si>
  <si>
    <t>24/03/23</t>
  </si>
  <si>
    <t>02/08/23</t>
  </si>
  <si>
    <t>Next inspection time frame not found</t>
  </si>
  <si>
    <t>The local area partnership’s arrangements lead to inconsistent experiences and outcomes for children and young people with special educational needs and/disabilities (SEND). The local area partnership must work jointly to make improvements. The next full area SEND inspection will take place within approximately 3 years. Ofsted and the CQC ask that the local area partnership updates and publishes its strategic plan based on the recommendations set out in this report.</t>
  </si>
  <si>
    <t>80495</t>
  </si>
  <si>
    <t>203</t>
  </si>
  <si>
    <t>E09000011</t>
  </si>
  <si>
    <t>209, 208, 306, 210, 355, 320, 851, 852, 391, 870</t>
  </si>
  <si>
    <t>greenwich</t>
  </si>
  <si>
    <t>https://files.ofsted.gov.uk/v1/file/50222861</t>
  </si>
  <si>
    <t>14/07/2017</t>
  </si>
  <si>
    <t>11/05/23</t>
  </si>
  <si>
    <t>19/05/23</t>
  </si>
  <si>
    <t>11/07/23</t>
  </si>
  <si>
    <t>11/05/28</t>
  </si>
  <si>
    <t>The local area partnership’s special educational needs and/or disability (SEND) arrangements typically lead to positive experiences and outcomes for children and young people with SEND. The local area partnership is taking action where improvements are needed.  The next full area SEND inspection will be within approximately 5 years.</t>
  </si>
  <si>
    <t>80498</t>
  </si>
  <si>
    <t>309</t>
  </si>
  <si>
    <t>E09000014</t>
  </si>
  <si>
    <t>320, 307, 209, 208, 302, 308, 210, 304, 313, 317</t>
  </si>
  <si>
    <t>haringey</t>
  </si>
  <si>
    <t>https://files.ofsted.gov.uk/v1/file/50243302</t>
  </si>
  <si>
    <t>29/01/24</t>
  </si>
  <si>
    <t>03/04/24</t>
  </si>
  <si>
    <t>29/01/29</t>
  </si>
  <si>
    <t>80501</t>
  </si>
  <si>
    <t>312</t>
  </si>
  <si>
    <t>E09000017</t>
  </si>
  <si>
    <t>313, 317, 320, 874, 307, 852, 310, 870, 871, 331</t>
  </si>
  <si>
    <t>hillingdon</t>
  </si>
  <si>
    <t>https://files.ofsted.gov.uk/v1/file/50252397</t>
  </si>
  <si>
    <t>29/04/24</t>
  </si>
  <si>
    <t>03/05/24</t>
  </si>
  <si>
    <t>29/04/27</t>
  </si>
  <si>
    <t>80503</t>
  </si>
  <si>
    <t>313</t>
  </si>
  <si>
    <t>E09000018</t>
  </si>
  <si>
    <t>307, 312, 871, 317, 320, 821, 304, 310, 852, 301</t>
  </si>
  <si>
    <t>hounslow</t>
  </si>
  <si>
    <t>https://files.ofsted.gov.uk/v1/file/50264793</t>
  </si>
  <si>
    <t>21/10/24</t>
  </si>
  <si>
    <t>25/10/24</t>
  </si>
  <si>
    <t>18/12/24</t>
  </si>
  <si>
    <t>21/10/27</t>
  </si>
  <si>
    <t>80508</t>
  </si>
  <si>
    <t>209</t>
  </si>
  <si>
    <t>E09000023</t>
  </si>
  <si>
    <t>208, 210, 306, 205, 203, 320, 309, 302, 383, 355</t>
  </si>
  <si>
    <t>lewisham</t>
  </si>
  <si>
    <t>https://files.ofsted.gov.uk/v1/file/50262087</t>
  </si>
  <si>
    <t>06/10/2017</t>
  </si>
  <si>
    <t>23/09/24</t>
  </si>
  <si>
    <t>27/09/24</t>
  </si>
  <si>
    <t>20/11/24</t>
  </si>
  <si>
    <t>23/09/27</t>
  </si>
  <si>
    <t>80511</t>
  </si>
  <si>
    <t>316</t>
  </si>
  <si>
    <t>E09000025</t>
  </si>
  <si>
    <t>304, 301, 308, 856, 309, 821, 307, 313, 352, 871</t>
  </si>
  <si>
    <t>newham</t>
  </si>
  <si>
    <t>https://files.ofsted.gov.uk/v1/file/50262991</t>
  </si>
  <si>
    <t>10/12/2021</t>
  </si>
  <si>
    <t>07/10/24</t>
  </si>
  <si>
    <t>11/10/24</t>
  </si>
  <si>
    <t>28/11/24</t>
  </si>
  <si>
    <t>07/10/27</t>
  </si>
  <si>
    <t>80512</t>
  </si>
  <si>
    <t>317</t>
  </si>
  <si>
    <t>E09000026</t>
  </si>
  <si>
    <t>310, 312, 320, 307, 313, 302, 871, 870, 852, 821</t>
  </si>
  <si>
    <t>redbridge</t>
  </si>
  <si>
    <t>https://files.ofsted.gov.uk/v1/file/50280755</t>
  </si>
  <si>
    <t>15/06/2018</t>
  </si>
  <si>
    <t>12/05/25</t>
  </si>
  <si>
    <t>16/05/25</t>
  </si>
  <si>
    <t>30/06/25</t>
  </si>
  <si>
    <t>12/11/26</t>
  </si>
  <si>
    <t>80513</t>
  </si>
  <si>
    <t>318</t>
  </si>
  <si>
    <t>E09000027</t>
  </si>
  <si>
    <t>868, 314, 936, 872, 305, 358, 825, 919, 800, 869</t>
  </si>
  <si>
    <t>richmond upon thames</t>
  </si>
  <si>
    <t>https://files.ofsted.gov.uk/v1/file/50234459</t>
  </si>
  <si>
    <t>18/06/2021</t>
  </si>
  <si>
    <t>02/10/23</t>
  </si>
  <si>
    <t>06/10/23</t>
  </si>
  <si>
    <t>02/10/28</t>
  </si>
  <si>
    <t>80516</t>
  </si>
  <si>
    <t>211</t>
  </si>
  <si>
    <t>E09000030</t>
  </si>
  <si>
    <t>204, 206, 316, 352, 202, 309, 213, 210, 330, 304</t>
  </si>
  <si>
    <t>tower hamlets</t>
  </si>
  <si>
    <t>https://files.ofsted.gov.uk/v1/file/50285042</t>
  </si>
  <si>
    <t>21/08/25</t>
  </si>
  <si>
    <t>80517</t>
  </si>
  <si>
    <t>320</t>
  </si>
  <si>
    <t>E09000031</t>
  </si>
  <si>
    <t>317, 302, 312, 306, 307, 309, 313, 310, 209, 852</t>
  </si>
  <si>
    <t>waltham forest</t>
  </si>
  <si>
    <t>https://files.ofsted.gov.uk/v1/file/50273312</t>
  </si>
  <si>
    <t>80522</t>
  </si>
  <si>
    <t>887</t>
  </si>
  <si>
    <t>nan</t>
  </si>
  <si>
    <t>E06000035</t>
  </si>
  <si>
    <t>866, 332, 886, 303, 926, 935, 883, 891, 351, 384</t>
  </si>
  <si>
    <t>medway</t>
  </si>
  <si>
    <t>https://files.ofsted.gov.uk/v1/file/50243176</t>
  </si>
  <si>
    <t>11/12/2019</t>
  </si>
  <si>
    <t>05/02/24</t>
  </si>
  <si>
    <t>09/02/24</t>
  </si>
  <si>
    <t>02/04/24</t>
  </si>
  <si>
    <t>05/02/27</t>
  </si>
  <si>
    <t>80523</t>
  </si>
  <si>
    <t>806</t>
  </si>
  <si>
    <t>E06000002</t>
  </si>
  <si>
    <t>890, 805, 861, 354, 391, 336, 335, 393, 341, 355</t>
  </si>
  <si>
    <t>middlesbrough</t>
  </si>
  <si>
    <t>https://files.ofsted.gov.uk/v1/file/50234957</t>
  </si>
  <si>
    <t>10/07/2019</t>
  </si>
  <si>
    <t>09/10/23</t>
  </si>
  <si>
    <t>13/10/23</t>
  </si>
  <si>
    <t>09/10/28</t>
  </si>
  <si>
    <t>The local area partnership’s special educational needs and/or disabilities (SEND) arrangements typically lead to positive experiences and outcomes for children and young people with SEND. The local area partnership is taking action where improvements are needed. The next full area SEND inspection will be within approximately five years. Ofsted and Care Quality Commission (CQC) ask that the local area partnership updates and publishes its strategic plan, based on the recommendations set out in this report.</t>
  </si>
  <si>
    <t>80524</t>
  </si>
  <si>
    <t>826</t>
  </si>
  <si>
    <t>E06000042</t>
  </si>
  <si>
    <t>822, 303, 882, 870, 839, 311, 919, 886, 319, 383</t>
  </si>
  <si>
    <t>milton keynes</t>
  </si>
  <si>
    <t>https://files.ofsted.gov.uk/v1/file/50247473</t>
  </si>
  <si>
    <t>12/10/2018</t>
  </si>
  <si>
    <t>04/03/24</t>
  </si>
  <si>
    <t>08/03/24</t>
  </si>
  <si>
    <t>04/03/27</t>
  </si>
  <si>
    <t>2637539</t>
  </si>
  <si>
    <t>940</t>
  </si>
  <si>
    <t>E06000061</t>
  </si>
  <si>
    <t>866, 941, 935, 925, 933, 883, 891, 813, 887, 384</t>
  </si>
  <si>
    <t>north northamptonshire</t>
  </si>
  <si>
    <t>https://files.ofsted.gov.uk/v1/file/50242696</t>
  </si>
  <si>
    <t>22/01/24</t>
  </si>
  <si>
    <t>25/03/24</t>
  </si>
  <si>
    <t>22/07/25</t>
  </si>
  <si>
    <t>80530</t>
  </si>
  <si>
    <t>815</t>
  </si>
  <si>
    <t>E10000023</t>
  </si>
  <si>
    <t>893, 895, 811, 860, 916, 877, 937, 884, 865, 933</t>
  </si>
  <si>
    <t>north yorkshire</t>
  </si>
  <si>
    <t>https://files.ofsted.gov.uk/v1/file/50257830</t>
  </si>
  <si>
    <t>25/09/24</t>
  </si>
  <si>
    <t>80534</t>
  </si>
  <si>
    <t>891</t>
  </si>
  <si>
    <t>E10000024</t>
  </si>
  <si>
    <t>830, 935, 933, 886, 926, 937, 855, 802, 860, 888</t>
  </si>
  <si>
    <t>nottinghamshire</t>
  </si>
  <si>
    <t>https://files.ofsted.gov.uk/v1/file/50216722</t>
  </si>
  <si>
    <t>24/06/2016</t>
  </si>
  <si>
    <t>30/01/23</t>
  </si>
  <si>
    <t>03/02/23</t>
  </si>
  <si>
    <t>30/07/24</t>
  </si>
  <si>
    <t>There are widespread and/or systemic failings leading to significant concerns about the experiences and outcomes of children and young people with special educational needs and/or disabilities (SEND) which the local area partnership must address urgently. A monitoring inspection will be carried out within approximately 18 months. The next full area SEND inspection will take place within approximately 3 years. HMCI requires the local area partnership to prepare and submit a priority action plan (area SEND) to address the identified areas for priority action.</t>
  </si>
  <si>
    <t>80535</t>
  </si>
  <si>
    <t>353</t>
  </si>
  <si>
    <t>E08000004</t>
  </si>
  <si>
    <t>889, 350, 354, 380, 335, 831, 861, 331, 330, 333</t>
  </si>
  <si>
    <t>oldham</t>
  </si>
  <si>
    <t>https://files.ofsted.gov.uk/v1/file/50226808</t>
  </si>
  <si>
    <t>26/06/23</t>
  </si>
  <si>
    <t>30/06/23</t>
  </si>
  <si>
    <t>29/08/23</t>
  </si>
  <si>
    <t>26/12/24</t>
  </si>
  <si>
    <t>There are widespread and/or systemic failings leading to significant concerns about the experiences and outcomes of children and young people with special educational needs and/or disabilities (SEND), which the local area partnership must address urgently. A monitoring inspection will be carried out within approximately 18 months. The next full reinspection will be within approximately 3 years. As a result of this inspection, HMCI requires the local area partnership to prepare and submit a priority action plan (area SEND) to address the identified areas for priority action.</t>
  </si>
  <si>
    <t>80536</t>
  </si>
  <si>
    <t>931</t>
  </si>
  <si>
    <t>E10000025</t>
  </si>
  <si>
    <t>873, 919, 825, 937, 916, 850, 867, 938, 869, 803</t>
  </si>
  <si>
    <t>oxfordshire</t>
  </si>
  <si>
    <t>https://files.ofsted.gov.uk/v1/file/50228374</t>
  </si>
  <si>
    <t>13/07/23</t>
  </si>
  <si>
    <t>21/07/23</t>
  </si>
  <si>
    <t>15/09/23</t>
  </si>
  <si>
    <t>13/01/25</t>
  </si>
  <si>
    <t>80538</t>
  </si>
  <si>
    <t>879</t>
  </si>
  <si>
    <t>E06000026</t>
  </si>
  <si>
    <t>357, 880, 894, 332, 372, 384, 382, 390, 887, 908</t>
  </si>
  <si>
    <t>plymouth</t>
  </si>
  <si>
    <t>https://files.ofsted.gov.uk/v1/file/50226534</t>
  </si>
  <si>
    <t>14/10/2016</t>
  </si>
  <si>
    <t>22/08/23</t>
  </si>
  <si>
    <t>80543</t>
  </si>
  <si>
    <t>372</t>
  </si>
  <si>
    <t>E08000018</t>
  </si>
  <si>
    <t>370, 357, 371, 384, 894, 332, 807, 394, 390, 840</t>
  </si>
  <si>
    <t>rotherham</t>
  </si>
  <si>
    <t>https://files.ofsted.gov.uk/v1/file/50261626</t>
  </si>
  <si>
    <t>30/09/24</t>
  </si>
  <si>
    <t>04/10/24</t>
  </si>
  <si>
    <t>30/09/29</t>
  </si>
  <si>
    <t>80547</t>
  </si>
  <si>
    <t>857</t>
  </si>
  <si>
    <t>E06000017</t>
  </si>
  <si>
    <t>865, 815, 893, 895, 850, 823, 916, 855, 869, 811</t>
  </si>
  <si>
    <t>rutland</t>
  </si>
  <si>
    <t>https://files.ofsted.gov.uk/v1/file/50225252</t>
  </si>
  <si>
    <t>15/05/23</t>
  </si>
  <si>
    <t>03/08/23</t>
  </si>
  <si>
    <t>15/05/28</t>
  </si>
  <si>
    <t>80549</t>
  </si>
  <si>
    <t>333</t>
  </si>
  <si>
    <t>E08000028</t>
  </si>
  <si>
    <t>336, 810, 861, 335, 354, 380, 806, 331, 353, 821</t>
  </si>
  <si>
    <t>sandwell</t>
  </si>
  <si>
    <t>https://files.ofsted.gov.uk/v1/file/50227802</t>
  </si>
  <si>
    <t>21/03/2019</t>
  </si>
  <si>
    <t>03/07/23</t>
  </si>
  <si>
    <t>07/07/23</t>
  </si>
  <si>
    <t>12/09/23</t>
  </si>
  <si>
    <t>03/07/26</t>
  </si>
  <si>
    <t>80551</t>
  </si>
  <si>
    <t>373</t>
  </si>
  <si>
    <t>E08000019</t>
  </si>
  <si>
    <t>382, 851, 355, 383, 831, 354, 391, 852, 357, 350</t>
  </si>
  <si>
    <t>sheffield</t>
  </si>
  <si>
    <t>https://files.ofsted.gov.uk/v1/file/50280053</t>
  </si>
  <si>
    <t>16/11/2018</t>
  </si>
  <si>
    <t>10/03/25</t>
  </si>
  <si>
    <t>14/03/25</t>
  </si>
  <si>
    <t>24/06/25</t>
  </si>
  <si>
    <t>10/09/26</t>
  </si>
  <si>
    <t>80553</t>
  </si>
  <si>
    <t>871</t>
  </si>
  <si>
    <t>E06000039</t>
  </si>
  <si>
    <t>313, 312, 821, 307, 317, 310, 304, 874, 320, 856</t>
  </si>
  <si>
    <t>slough</t>
  </si>
  <si>
    <t>https://files.ofsted.gov.uk/v1/file/50290645</t>
  </si>
  <si>
    <t>06/11/25</t>
  </si>
  <si>
    <t>Inspection outcome section not found.</t>
  </si>
  <si>
    <t>80556</t>
  </si>
  <si>
    <t>803</t>
  </si>
  <si>
    <t>E06000025</t>
  </si>
  <si>
    <t>855, 850, 938, 873, 823, 802, 916, 881, 931, 865</t>
  </si>
  <si>
    <t>south gloucestershire</t>
  </si>
  <si>
    <t>https://files.ofsted.gov.uk/v1/file/50290649</t>
  </si>
  <si>
    <t>10/11/2017</t>
  </si>
  <si>
    <t>14/07/25</t>
  </si>
  <si>
    <t>18/07/25</t>
  </si>
  <si>
    <t>05/11/25</t>
  </si>
  <si>
    <t>The local area partnership’s arrangements lead to inconsistent experiences and outcomes for children and young people with special educational needs and/or disabilities (SEND). The local area partnership must work jointly to make improvements. The next full area SEND inspection will take place within approximately three years. Ofsted and the Care Quality Commission (CQC) ask that the local area partnership updates and publishes its strategic plan based on the recommendations set out in this report.</t>
  </si>
  <si>
    <t>80558</t>
  </si>
  <si>
    <t>852</t>
  </si>
  <si>
    <t>E06000045</t>
  </si>
  <si>
    <t>331, 831, 851, 373, 312, 355, 874, 383, 350, 320</t>
  </si>
  <si>
    <t>southampton</t>
  </si>
  <si>
    <t>https://files.ofsted.gov.uk/v1/file/50252575</t>
  </si>
  <si>
    <t>13/05/24</t>
  </si>
  <si>
    <t>17/05/24</t>
  </si>
  <si>
    <t>16/07/24</t>
  </si>
  <si>
    <t>13/05/27</t>
  </si>
  <si>
    <t>80559</t>
  </si>
  <si>
    <t>882</t>
  </si>
  <si>
    <t>E06000033</t>
  </si>
  <si>
    <t>839, 383, 826, 351, 845, 851, 886, 303, 392, 822</t>
  </si>
  <si>
    <t>southend-on-sea</t>
  </si>
  <si>
    <t>https://files.ofsted.gov.uk/v1/file/50219405</t>
  </si>
  <si>
    <t>06/10/2018</t>
  </si>
  <si>
    <t>06/03/23</t>
  </si>
  <si>
    <t>10/03/23</t>
  </si>
  <si>
    <t>09/06/23</t>
  </si>
  <si>
    <t>06/03/26</t>
  </si>
  <si>
    <t>The local area partnership’s arrangements lead to inconsistent experiences and outcomes for children and young people with special educational needs and/or disabilities (SEND). The local area partnership must work jointly to make improvements. The next full area SEND inspection will be within approximately 3 years. Ofsted and the Care Quality Commission (CQC) ask that the local area partnership updates and publishes its strategic plan based on the recommendations set out in this report.</t>
  </si>
  <si>
    <t>80564</t>
  </si>
  <si>
    <t>861</t>
  </si>
  <si>
    <t>E06000021</t>
  </si>
  <si>
    <t>335, 354, 336, 371, 812, 810, 333, 357, 831, 372</t>
  </si>
  <si>
    <t>stoke-on-trent</t>
  </si>
  <si>
    <t>https://files.ofsted.gov.uk/v1/file/50243303</t>
  </si>
  <si>
    <t>15/07/2016</t>
  </si>
  <si>
    <t>29/01/27</t>
  </si>
  <si>
    <t>80565</t>
  </si>
  <si>
    <t>935</t>
  </si>
  <si>
    <t>E10000029</t>
  </si>
  <si>
    <t>933, 926, 830, 891, 878, 881, 886, 838, 925, 940</t>
  </si>
  <si>
    <t>suffolk</t>
  </si>
  <si>
    <t>https://files.ofsted.gov.uk/v1/file/50238584</t>
  </si>
  <si>
    <t>23/01/2019</t>
  </si>
  <si>
    <t>13/11/23</t>
  </si>
  <si>
    <t>17/11/23</t>
  </si>
  <si>
    <t>30/01/24</t>
  </si>
  <si>
    <t>80567</t>
  </si>
  <si>
    <t>936</t>
  </si>
  <si>
    <t>E10000030</t>
  </si>
  <si>
    <t>868, 825, 358, 919, 869, 823, 872, 931, 867, 873</t>
  </si>
  <si>
    <t>surrey</t>
  </si>
  <si>
    <t>https://files.ofsted.gov.uk/v1/file/50233738</t>
  </si>
  <si>
    <t>25/09/23</t>
  </si>
  <si>
    <t>29/09/23</t>
  </si>
  <si>
    <t>25/09/26</t>
  </si>
  <si>
    <t>80569</t>
  </si>
  <si>
    <t>357</t>
  </si>
  <si>
    <t>E08000008</t>
  </si>
  <si>
    <t>372, 390, 354, 370, 384, 332, 894, 879, 394, 880</t>
  </si>
  <si>
    <t>tameside</t>
  </si>
  <si>
    <t>https://files.ofsted.gov.uk/v1/file/50281085</t>
  </si>
  <si>
    <t>22/10/2021</t>
  </si>
  <si>
    <t>03/07/25</t>
  </si>
  <si>
    <t>80570</t>
  </si>
  <si>
    <t>894</t>
  </si>
  <si>
    <t>E06000020</t>
  </si>
  <si>
    <t>384, 372, 332, 370, 357, 371, 841, 390, 879, 808</t>
  </si>
  <si>
    <t>telford &amp; wrekin</t>
  </si>
  <si>
    <t>https://files.ofsted.gov.uk/v1/file/50221953</t>
  </si>
  <si>
    <t>26/05/2017</t>
  </si>
  <si>
    <t>20/03/28</t>
  </si>
  <si>
    <t>The local area partnership’s arrangements typically lead to positive experiences and outcomes for children and young people with special educational needs and/or disabilities (SEND). The local area partnership is taking action where improvements are needed. The next full Area SEND inspection will be within approximately 5 years. Ofsted and CQC ask that the local area partnership updates and publishes its strategic plan based on the recommendations set out in this report.</t>
  </si>
  <si>
    <t>80572</t>
  </si>
  <si>
    <t>880</t>
  </si>
  <si>
    <t>E06000027</t>
  </si>
  <si>
    <t>357, 394, 879, 372, 807, 921, 370, 390, 354, 894</t>
  </si>
  <si>
    <t>torbay</t>
  </si>
  <si>
    <t>https://files.ofsted.gov.uk/v1/file/50279699</t>
  </si>
  <si>
    <t>19/11/2021</t>
  </si>
  <si>
    <t>17/03/25</t>
  </si>
  <si>
    <t>21/03/25</t>
  </si>
  <si>
    <t>25/06/25</t>
  </si>
  <si>
    <t>17/09/26</t>
  </si>
  <si>
    <t>There are widespread and/or systemic failings leading to significant concerns about the experiences and outcomes of children and young people with special educational needs and/or disabilities (SEND), which the local area partnership must address urgently. A monitoring inspection will be carried out within approximately 18 months. The next full reinspection will be within approximately three years.</t>
  </si>
  <si>
    <t>80573</t>
  </si>
  <si>
    <t>358</t>
  </si>
  <si>
    <t>E08000009</t>
  </si>
  <si>
    <t>919, 356, 825, 931, 936, 305, 895, 873, 916, 334</t>
  </si>
  <si>
    <t>trafford</t>
  </si>
  <si>
    <t>https://files.ofsted.gov.uk/v1/file/50236174</t>
  </si>
  <si>
    <t>16/10/23</t>
  </si>
  <si>
    <t>20/10/23</t>
  </si>
  <si>
    <t>22/12/23</t>
  </si>
  <si>
    <t>16/10/26</t>
  </si>
  <si>
    <t>80575</t>
  </si>
  <si>
    <t>877</t>
  </si>
  <si>
    <t>E06000007</t>
  </si>
  <si>
    <t>895, 937, 860, 811, 815, 916, 334, 893, 885, 865</t>
  </si>
  <si>
    <t>warrington</t>
  </si>
  <si>
    <t>https://files.ofsted.gov.uk/v1/file/50215729</t>
  </si>
  <si>
    <t>14/12/2018</t>
  </si>
  <si>
    <t>2637548</t>
  </si>
  <si>
    <t>941</t>
  </si>
  <si>
    <t>E06000062</t>
  </si>
  <si>
    <t>822, 940, 937, 866, 933, 935, 311, 855, 931, 303</t>
  </si>
  <si>
    <t>west northamptonshire</t>
  </si>
  <si>
    <t>https://files.ofsted.gov.uk/v1/file/50252240</t>
  </si>
  <si>
    <t>18/09/25</t>
  </si>
  <si>
    <t>80578</t>
  </si>
  <si>
    <t>938</t>
  </si>
  <si>
    <t>E10000032</t>
  </si>
  <si>
    <t>916, 881, 850, 919, 937, 865, 802, 931, 803, 878</t>
  </si>
  <si>
    <t>west sussex</t>
  </si>
  <si>
    <t>https://files.ofsted.gov.uk/v1/file/50240577</t>
  </si>
  <si>
    <t>27/11/23</t>
  </si>
  <si>
    <t>01/12/23</t>
  </si>
  <si>
    <t>29/02/24</t>
  </si>
  <si>
    <t>27/11/26</t>
  </si>
  <si>
    <t>2733698</t>
  </si>
  <si>
    <t>943</t>
  </si>
  <si>
    <t>884, 942, 860, 893, 811, 815, 925, 933, 935, 830</t>
  </si>
  <si>
    <t>westmorland and furness</t>
  </si>
  <si>
    <t>https://files.ofsted.gov.uk/v1/file/50274229</t>
  </si>
  <si>
    <t>09/04/25</t>
  </si>
  <si>
    <t>03/02/28</t>
  </si>
  <si>
    <t>80580</t>
  </si>
  <si>
    <t>865</t>
  </si>
  <si>
    <t>E06000054</t>
  </si>
  <si>
    <t>850, 916, 802, 938, 855, 937, 895, 881, 815, 803</t>
  </si>
  <si>
    <t>wiltshire</t>
  </si>
  <si>
    <t>https://files.ofsted.gov.uk/v1/file/50263759</t>
  </si>
  <si>
    <t>14/10/24</t>
  </si>
  <si>
    <t>18/10/24</t>
  </si>
  <si>
    <t>The local area partnership’s arrangements typically lead to positive experiences and outcomes for children and young people with special educational needs and/or disabilities (SEND). The local area partnership is taking action where improvements are needed.  The next full area SEND inspection will be within five years.</t>
  </si>
  <si>
    <t>80581</t>
  </si>
  <si>
    <t>344</t>
  </si>
  <si>
    <t>E08000015</t>
  </si>
  <si>
    <t>840, 343, 876, 808, 394, 390, 807, 888, 351, 393</t>
  </si>
  <si>
    <t>wirral</t>
  </si>
  <si>
    <t>https://files.ofsted.gov.uk/v1/file/50274678</t>
  </si>
  <si>
    <t>16/04/25</t>
  </si>
  <si>
    <t>27/07/26</t>
  </si>
  <si>
    <t>80584</t>
  </si>
  <si>
    <t>885</t>
  </si>
  <si>
    <t>E10000034</t>
  </si>
  <si>
    <t>933, 916, 838, 937, 893, 938, 878, 830, 881, 815</t>
  </si>
  <si>
    <t>worcestershire</t>
  </si>
  <si>
    <t>https://files.ofsted.gov.uk/v1/file/50252437</t>
  </si>
  <si>
    <t>03/11/2021</t>
  </si>
  <si>
    <t>22/04/24</t>
  </si>
  <si>
    <t>26/04/24</t>
  </si>
  <si>
    <t>15/07/24</t>
  </si>
  <si>
    <t>22/10/25</t>
  </si>
  <si>
    <t>urn</t>
  </si>
  <si>
    <t>la_code</t>
  </si>
  <si>
    <t>region_code</t>
  </si>
  <si>
    <t>ltla23cd</t>
  </si>
  <si>
    <t>stat_neighbours</t>
  </si>
  <si>
    <t>local_authority</t>
  </si>
  <si>
    <t>inspection_link</t>
  </si>
  <si>
    <t>outcome_grade</t>
  </si>
  <si>
    <t>previous_inspection_date</t>
  </si>
  <si>
    <t>inspection_start_date</t>
  </si>
  <si>
    <t>inspection_end_date</t>
  </si>
  <si>
    <t>publication_date</t>
  </si>
  <si>
    <t>next_inspection</t>
  </si>
  <si>
    <t>next_inspection_by_date</t>
  </si>
  <si>
    <t>local_link_to_all_inspections</t>
  </si>
  <si>
    <t>inspection_outcome_text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</si>
</sst>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u/>
      <sz val="11"/>
      <color rgb="FF0000FF"/>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0" xfId="0" applyFont="1"/>
    <xf numFmtId="0" fontId="2" fillId="0" borderId="0" xfId="1" applyAlignment="1" applyProtection="1"/>
    <xf numFmtId="0" fontId="3"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files.ofsted.gov.uk/v1/file/50268954" TargetMode="External"/><Relationship Id="rId21" Type="http://schemas.openxmlformats.org/officeDocument/2006/relationships/hyperlink" Target="https://files.ofsted.gov.uk/v1/file/50216721" TargetMode="External"/><Relationship Id="rId42" Type="http://schemas.openxmlformats.org/officeDocument/2006/relationships/hyperlink" Target="https://files.ofsted.gov.uk/v1/file/50243176" TargetMode="External"/><Relationship Id="rId47" Type="http://schemas.openxmlformats.org/officeDocument/2006/relationships/hyperlink" Target="https://files.ofsted.gov.uk/v1/file/50216722" TargetMode="External"/><Relationship Id="rId63" Type="http://schemas.openxmlformats.org/officeDocument/2006/relationships/hyperlink" Target="https://files.ofsted.gov.uk/v1/file/50221953" TargetMode="External"/><Relationship Id="rId68" Type="http://schemas.openxmlformats.org/officeDocument/2006/relationships/hyperlink" Target="https://files.ofsted.gov.uk/v1/file/50240577" TargetMode="External"/><Relationship Id="rId7" Type="http://schemas.openxmlformats.org/officeDocument/2006/relationships/hyperlink" Target="https://files.ofsted.gov.uk/v1/file/50246030" TargetMode="External"/><Relationship Id="rId71" Type="http://schemas.openxmlformats.org/officeDocument/2006/relationships/hyperlink" Target="https://files.ofsted.gov.uk/v1/file/50274678" TargetMode="External"/><Relationship Id="rId2" Type="http://schemas.openxmlformats.org/officeDocument/2006/relationships/hyperlink" Target="https://files.ofsted.gov.uk/v1/file/50284703" TargetMode="External"/><Relationship Id="rId16" Type="http://schemas.openxmlformats.org/officeDocument/2006/relationships/hyperlink" Target="https://files.ofsted.gov.uk/v1/file/50255956" TargetMode="External"/><Relationship Id="rId29" Type="http://schemas.openxmlformats.org/officeDocument/2006/relationships/hyperlink" Target="https://files.ofsted.gov.uk/v1/file/50240171" TargetMode="External"/><Relationship Id="rId11" Type="http://schemas.openxmlformats.org/officeDocument/2006/relationships/hyperlink" Target="https://files.ofsted.gov.uk/v1/file/50286341" TargetMode="External"/><Relationship Id="rId24" Type="http://schemas.openxmlformats.org/officeDocument/2006/relationships/hyperlink" Target="https://files.ofsted.gov.uk/v1/file/50238910" TargetMode="External"/><Relationship Id="rId32" Type="http://schemas.openxmlformats.org/officeDocument/2006/relationships/hyperlink" Target="https://files.ofsted.gov.uk/v1/file/50222861" TargetMode="External"/><Relationship Id="rId37" Type="http://schemas.openxmlformats.org/officeDocument/2006/relationships/hyperlink" Target="https://files.ofsted.gov.uk/v1/file/50262991" TargetMode="External"/><Relationship Id="rId40" Type="http://schemas.openxmlformats.org/officeDocument/2006/relationships/hyperlink" Target="https://files.ofsted.gov.uk/v1/file/50285042" TargetMode="External"/><Relationship Id="rId45" Type="http://schemas.openxmlformats.org/officeDocument/2006/relationships/hyperlink" Target="https://files.ofsted.gov.uk/v1/file/50242696" TargetMode="External"/><Relationship Id="rId53" Type="http://schemas.openxmlformats.org/officeDocument/2006/relationships/hyperlink" Target="https://files.ofsted.gov.uk/v1/file/50227802" TargetMode="External"/><Relationship Id="rId58" Type="http://schemas.openxmlformats.org/officeDocument/2006/relationships/hyperlink" Target="https://files.ofsted.gov.uk/v1/file/50219405" TargetMode="External"/><Relationship Id="rId66" Type="http://schemas.openxmlformats.org/officeDocument/2006/relationships/hyperlink" Target="https://files.ofsted.gov.uk/v1/file/50215729" TargetMode="External"/><Relationship Id="rId5" Type="http://schemas.openxmlformats.org/officeDocument/2006/relationships/hyperlink" Target="https://files.ofsted.gov.uk/v1/file/50273313" TargetMode="External"/><Relationship Id="rId61" Type="http://schemas.openxmlformats.org/officeDocument/2006/relationships/hyperlink" Target="https://files.ofsted.gov.uk/v1/file/50233738" TargetMode="External"/><Relationship Id="rId19" Type="http://schemas.openxmlformats.org/officeDocument/2006/relationships/hyperlink" Target="https://files.ofsted.gov.uk/v1/file/50240683" TargetMode="External"/><Relationship Id="rId14" Type="http://schemas.openxmlformats.org/officeDocument/2006/relationships/hyperlink" Target="https://files.ofsted.gov.uk/v1/file/50246984" TargetMode="External"/><Relationship Id="rId22" Type="http://schemas.openxmlformats.org/officeDocument/2006/relationships/hyperlink" Target="https://files.ofsted.gov.uk/v1/file/50268466" TargetMode="External"/><Relationship Id="rId27" Type="http://schemas.openxmlformats.org/officeDocument/2006/relationships/hyperlink" Target="https://files.ofsted.gov.uk/v1/file/50276861" TargetMode="External"/><Relationship Id="rId30" Type="http://schemas.openxmlformats.org/officeDocument/2006/relationships/hyperlink" Target="https://files.ofsted.gov.uk/v1/file/50272928" TargetMode="External"/><Relationship Id="rId35" Type="http://schemas.openxmlformats.org/officeDocument/2006/relationships/hyperlink" Target="https://files.ofsted.gov.uk/v1/file/50264793" TargetMode="External"/><Relationship Id="rId43" Type="http://schemas.openxmlformats.org/officeDocument/2006/relationships/hyperlink" Target="https://files.ofsted.gov.uk/v1/file/50234957" TargetMode="External"/><Relationship Id="rId48" Type="http://schemas.openxmlformats.org/officeDocument/2006/relationships/hyperlink" Target="https://files.ofsted.gov.uk/v1/file/50226808" TargetMode="External"/><Relationship Id="rId56" Type="http://schemas.openxmlformats.org/officeDocument/2006/relationships/hyperlink" Target="https://files.ofsted.gov.uk/v1/file/50290649" TargetMode="External"/><Relationship Id="rId64" Type="http://schemas.openxmlformats.org/officeDocument/2006/relationships/hyperlink" Target="https://files.ofsted.gov.uk/v1/file/50279699" TargetMode="External"/><Relationship Id="rId69" Type="http://schemas.openxmlformats.org/officeDocument/2006/relationships/hyperlink" Target="https://files.ofsted.gov.uk/v1/file/50274229" TargetMode="External"/><Relationship Id="rId8" Type="http://schemas.openxmlformats.org/officeDocument/2006/relationships/hyperlink" Target="https://files.ofsted.gov.uk/v1/file/50276860" TargetMode="External"/><Relationship Id="rId51" Type="http://schemas.openxmlformats.org/officeDocument/2006/relationships/hyperlink" Target="https://files.ofsted.gov.uk/v1/file/50261626" TargetMode="External"/><Relationship Id="rId72" Type="http://schemas.openxmlformats.org/officeDocument/2006/relationships/hyperlink" Target="https://files.ofsted.gov.uk/v1/file/50252437" TargetMode="External"/><Relationship Id="rId3" Type="http://schemas.openxmlformats.org/officeDocument/2006/relationships/hyperlink" Target="https://files.ofsted.gov.uk/v1/file/50253401" TargetMode="External"/><Relationship Id="rId12" Type="http://schemas.openxmlformats.org/officeDocument/2006/relationships/hyperlink" Target="https://files.ofsted.gov.uk/v1/file/50268246" TargetMode="External"/><Relationship Id="rId17" Type="http://schemas.openxmlformats.org/officeDocument/2006/relationships/hyperlink" Target="https://files.ofsted.gov.uk/v1/file/50268245" TargetMode="External"/><Relationship Id="rId25" Type="http://schemas.openxmlformats.org/officeDocument/2006/relationships/hyperlink" Target="https://files.ofsted.gov.uk/v1/file/50283933" TargetMode="External"/><Relationship Id="rId33" Type="http://schemas.openxmlformats.org/officeDocument/2006/relationships/hyperlink" Target="https://files.ofsted.gov.uk/v1/file/50243302" TargetMode="External"/><Relationship Id="rId38" Type="http://schemas.openxmlformats.org/officeDocument/2006/relationships/hyperlink" Target="https://files.ofsted.gov.uk/v1/file/50280755" TargetMode="External"/><Relationship Id="rId46" Type="http://schemas.openxmlformats.org/officeDocument/2006/relationships/hyperlink" Target="https://files.ofsted.gov.uk/v1/file/50257830" TargetMode="External"/><Relationship Id="rId59" Type="http://schemas.openxmlformats.org/officeDocument/2006/relationships/hyperlink" Target="https://files.ofsted.gov.uk/v1/file/50243303" TargetMode="External"/><Relationship Id="rId67" Type="http://schemas.openxmlformats.org/officeDocument/2006/relationships/hyperlink" Target="https://files.ofsted.gov.uk/v1/file/50252240" TargetMode="External"/><Relationship Id="rId20" Type="http://schemas.openxmlformats.org/officeDocument/2006/relationships/hyperlink" Target="https://files.ofsted.gov.uk/v1/file/50238390" TargetMode="External"/><Relationship Id="rId41" Type="http://schemas.openxmlformats.org/officeDocument/2006/relationships/hyperlink" Target="https://files.ofsted.gov.uk/v1/file/50273312" TargetMode="External"/><Relationship Id="rId54" Type="http://schemas.openxmlformats.org/officeDocument/2006/relationships/hyperlink" Target="https://files.ofsted.gov.uk/v1/file/50280053" TargetMode="External"/><Relationship Id="rId62" Type="http://schemas.openxmlformats.org/officeDocument/2006/relationships/hyperlink" Target="https://files.ofsted.gov.uk/v1/file/50281085" TargetMode="External"/><Relationship Id="rId70" Type="http://schemas.openxmlformats.org/officeDocument/2006/relationships/hyperlink" Target="https://files.ofsted.gov.uk/v1/file/50263759" TargetMode="External"/><Relationship Id="rId1" Type="http://schemas.openxmlformats.org/officeDocument/2006/relationships/hyperlink" Target="https://files.ofsted.gov.uk/v1/file/50268244" TargetMode="External"/><Relationship Id="rId6" Type="http://schemas.openxmlformats.org/officeDocument/2006/relationships/hyperlink" Target="https://files.ofsted.gov.uk/v1/file/50218659" TargetMode="External"/><Relationship Id="rId15" Type="http://schemas.openxmlformats.org/officeDocument/2006/relationships/hyperlink" Target="https://files.ofsted.gov.uk/v1/file/50271042" TargetMode="External"/><Relationship Id="rId23" Type="http://schemas.openxmlformats.org/officeDocument/2006/relationships/hyperlink" Target="https://files.ofsted.gov.uk/v1/file/50232445" TargetMode="External"/><Relationship Id="rId28" Type="http://schemas.openxmlformats.org/officeDocument/2006/relationships/hyperlink" Target="https://files.ofsted.gov.uk/v1/file/50256050" TargetMode="External"/><Relationship Id="rId36" Type="http://schemas.openxmlformats.org/officeDocument/2006/relationships/hyperlink" Target="https://files.ofsted.gov.uk/v1/file/50262087" TargetMode="External"/><Relationship Id="rId49" Type="http://schemas.openxmlformats.org/officeDocument/2006/relationships/hyperlink" Target="https://files.ofsted.gov.uk/v1/file/50228374" TargetMode="External"/><Relationship Id="rId57" Type="http://schemas.openxmlformats.org/officeDocument/2006/relationships/hyperlink" Target="https://files.ofsted.gov.uk/v1/file/50252575" TargetMode="External"/><Relationship Id="rId10" Type="http://schemas.openxmlformats.org/officeDocument/2006/relationships/hyperlink" Target="https://files.ofsted.gov.uk/v1/file/50215730" TargetMode="External"/><Relationship Id="rId31" Type="http://schemas.openxmlformats.org/officeDocument/2006/relationships/hyperlink" Target="https://files.ofsted.gov.uk/v1/file/50225063" TargetMode="External"/><Relationship Id="rId44" Type="http://schemas.openxmlformats.org/officeDocument/2006/relationships/hyperlink" Target="https://files.ofsted.gov.uk/v1/file/50247473" TargetMode="External"/><Relationship Id="rId52" Type="http://schemas.openxmlformats.org/officeDocument/2006/relationships/hyperlink" Target="https://files.ofsted.gov.uk/v1/file/50225252" TargetMode="External"/><Relationship Id="rId60" Type="http://schemas.openxmlformats.org/officeDocument/2006/relationships/hyperlink" Target="https://files.ofsted.gov.uk/v1/file/50238584" TargetMode="External"/><Relationship Id="rId65" Type="http://schemas.openxmlformats.org/officeDocument/2006/relationships/hyperlink" Target="https://files.ofsted.gov.uk/v1/file/50236174" TargetMode="External"/><Relationship Id="rId4" Type="http://schemas.openxmlformats.org/officeDocument/2006/relationships/hyperlink" Target="https://files.ofsted.gov.uk/v1/file/50255791" TargetMode="External"/><Relationship Id="rId9" Type="http://schemas.openxmlformats.org/officeDocument/2006/relationships/hyperlink" Target="https://files.ofsted.gov.uk/v1/file/50253460" TargetMode="External"/><Relationship Id="rId13" Type="http://schemas.openxmlformats.org/officeDocument/2006/relationships/hyperlink" Target="https://files.ofsted.gov.uk/v1/file/50261625" TargetMode="External"/><Relationship Id="rId18" Type="http://schemas.openxmlformats.org/officeDocument/2006/relationships/hyperlink" Target="https://files.ofsted.gov.uk/v1/file/50224180" TargetMode="External"/><Relationship Id="rId39" Type="http://schemas.openxmlformats.org/officeDocument/2006/relationships/hyperlink" Target="https://files.ofsted.gov.uk/v1/file/50234459" TargetMode="External"/><Relationship Id="rId34" Type="http://schemas.openxmlformats.org/officeDocument/2006/relationships/hyperlink" Target="https://files.ofsted.gov.uk/v1/file/50252397" TargetMode="External"/><Relationship Id="rId50" Type="http://schemas.openxmlformats.org/officeDocument/2006/relationships/hyperlink" Target="https://files.ofsted.gov.uk/v1/file/50226534" TargetMode="External"/><Relationship Id="rId55" Type="http://schemas.openxmlformats.org/officeDocument/2006/relationships/hyperlink" Target="https://files.ofsted.gov.uk/v1/file/502906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3"/>
  <sheetViews>
    <sheetView tabSelected="1" workbookViewId="0"/>
  </sheetViews>
  <sheetFormatPr defaultRowHeight="14.5" x14ac:dyDescent="0.35"/>
  <sheetData>
    <row r="1" spans="1:16" x14ac:dyDescent="0.35">
      <c r="A1" s="1" t="s">
        <v>738</v>
      </c>
      <c r="B1" s="1" t="s">
        <v>739</v>
      </c>
      <c r="C1" s="1" t="s">
        <v>740</v>
      </c>
      <c r="D1" s="1" t="s">
        <v>741</v>
      </c>
      <c r="E1" s="1" t="s">
        <v>742</v>
      </c>
      <c r="F1" s="1" t="s">
        <v>743</v>
      </c>
      <c r="G1" s="1" t="s">
        <v>744</v>
      </c>
      <c r="H1" s="1" t="s">
        <v>745</v>
      </c>
      <c r="I1" s="1" t="s">
        <v>746</v>
      </c>
      <c r="J1" s="1" t="s">
        <v>747</v>
      </c>
      <c r="K1" s="1" t="s">
        <v>748</v>
      </c>
      <c r="L1" s="1" t="s">
        <v>749</v>
      </c>
      <c r="M1" s="1" t="s">
        <v>750</v>
      </c>
      <c r="N1" s="1" t="s">
        <v>751</v>
      </c>
      <c r="O1" s="1" t="s">
        <v>752</v>
      </c>
      <c r="P1" s="1" t="s">
        <v>753</v>
      </c>
    </row>
    <row r="2" spans="1:16" x14ac:dyDescent="0.35">
      <c r="A2" t="s">
        <v>0</v>
      </c>
      <c r="B2" t="s">
        <v>1</v>
      </c>
      <c r="C2" t="s">
        <v>2</v>
      </c>
      <c r="D2" t="s">
        <v>3</v>
      </c>
      <c r="E2" t="s">
        <v>4</v>
      </c>
      <c r="F2" t="s">
        <v>5</v>
      </c>
      <c r="G2" s="2" t="s">
        <v>6</v>
      </c>
      <c r="H2" t="s">
        <v>7</v>
      </c>
      <c r="I2" t="s">
        <v>8</v>
      </c>
      <c r="J2" t="s">
        <v>9</v>
      </c>
      <c r="K2" t="s">
        <v>10</v>
      </c>
      <c r="L2" t="s">
        <v>11</v>
      </c>
      <c r="M2" t="s">
        <v>12</v>
      </c>
      <c r="N2" t="s">
        <v>13</v>
      </c>
      <c r="O2" s="3" t="str">
        <f>HYPERLINK(".\.\export_data\inspection_reports\80428_bedford", ".\export_data\inspection_reports\80428_bedford")</f>
        <v>.\export_data\inspection_reports\80428_bedford</v>
      </c>
      <c r="P2" t="s">
        <v>14</v>
      </c>
    </row>
    <row r="3" spans="1:16" x14ac:dyDescent="0.35">
      <c r="A3" t="s">
        <v>15</v>
      </c>
      <c r="B3" t="s">
        <v>16</v>
      </c>
      <c r="C3" t="s">
        <v>17</v>
      </c>
      <c r="D3" t="s">
        <v>18</v>
      </c>
      <c r="E3" t="s">
        <v>19</v>
      </c>
      <c r="F3" t="s">
        <v>20</v>
      </c>
      <c r="G3" s="2" t="s">
        <v>21</v>
      </c>
      <c r="H3" t="s">
        <v>22</v>
      </c>
      <c r="I3" t="s">
        <v>23</v>
      </c>
      <c r="J3" t="s">
        <v>24</v>
      </c>
      <c r="K3" t="s">
        <v>25</v>
      </c>
      <c r="L3" t="s">
        <v>26</v>
      </c>
      <c r="M3" t="s">
        <v>27</v>
      </c>
      <c r="N3" t="s">
        <v>28</v>
      </c>
      <c r="O3" s="3" t="str">
        <f>HYPERLINK(".\.\export_data\inspection_reports\80429_birmingham", ".\export_data\inspection_reports\80429_birmingham")</f>
        <v>.\export_data\inspection_reports\80429_birmingham</v>
      </c>
      <c r="P3" t="s">
        <v>29</v>
      </c>
    </row>
    <row r="4" spans="1:16" x14ac:dyDescent="0.35">
      <c r="A4" t="s">
        <v>30</v>
      </c>
      <c r="B4" t="s">
        <v>31</v>
      </c>
      <c r="C4" t="s">
        <v>32</v>
      </c>
      <c r="D4" t="s">
        <v>33</v>
      </c>
      <c r="E4" t="s">
        <v>34</v>
      </c>
      <c r="F4" t="s">
        <v>35</v>
      </c>
      <c r="G4" s="2" t="s">
        <v>36</v>
      </c>
      <c r="H4" t="s">
        <v>22</v>
      </c>
      <c r="I4" t="s">
        <v>8</v>
      </c>
      <c r="J4" t="s">
        <v>37</v>
      </c>
      <c r="K4" t="s">
        <v>38</v>
      </c>
      <c r="L4" t="s">
        <v>39</v>
      </c>
      <c r="M4" t="s">
        <v>27</v>
      </c>
      <c r="N4" t="s">
        <v>40</v>
      </c>
      <c r="O4" s="3" t="str">
        <f>HYPERLINK(".\.\export_data\inspection_reports\80431_blackpool", ".\export_data\inspection_reports\80431_blackpool")</f>
        <v>.\export_data\inspection_reports\80431_blackpool</v>
      </c>
      <c r="P4" t="s">
        <v>41</v>
      </c>
    </row>
    <row r="5" spans="1:16" x14ac:dyDescent="0.35">
      <c r="A5" t="s">
        <v>42</v>
      </c>
      <c r="B5" t="s">
        <v>43</v>
      </c>
      <c r="C5" t="s">
        <v>32</v>
      </c>
      <c r="D5" t="s">
        <v>44</v>
      </c>
      <c r="E5" t="s">
        <v>45</v>
      </c>
      <c r="F5" t="s">
        <v>46</v>
      </c>
      <c r="G5" s="2" t="s">
        <v>47</v>
      </c>
      <c r="H5" t="s">
        <v>7</v>
      </c>
      <c r="I5" t="s">
        <v>48</v>
      </c>
      <c r="J5" t="s">
        <v>49</v>
      </c>
      <c r="K5" t="s">
        <v>50</v>
      </c>
      <c r="L5" t="s">
        <v>51</v>
      </c>
      <c r="M5" t="s">
        <v>12</v>
      </c>
      <c r="N5" t="s">
        <v>52</v>
      </c>
      <c r="O5" s="3" t="str">
        <f>HYPERLINK(".\.\export_data\inspection_reports\80432_bolton", ".\export_data\inspection_reports\80432_bolton")</f>
        <v>.\export_data\inspection_reports\80432_bolton</v>
      </c>
      <c r="P5" t="s">
        <v>14</v>
      </c>
    </row>
    <row r="6" spans="1:16" x14ac:dyDescent="0.35">
      <c r="A6" t="s">
        <v>53</v>
      </c>
      <c r="B6" t="s">
        <v>54</v>
      </c>
      <c r="C6" t="s">
        <v>55</v>
      </c>
      <c r="D6" t="s">
        <v>56</v>
      </c>
      <c r="E6" t="s">
        <v>57</v>
      </c>
      <c r="F6" t="s">
        <v>58</v>
      </c>
      <c r="G6" s="2" t="s">
        <v>59</v>
      </c>
      <c r="H6" t="s">
        <v>60</v>
      </c>
      <c r="I6" t="s">
        <v>8</v>
      </c>
      <c r="J6" t="s">
        <v>61</v>
      </c>
      <c r="K6" t="s">
        <v>62</v>
      </c>
      <c r="L6" t="s">
        <v>63</v>
      </c>
      <c r="M6" t="s">
        <v>64</v>
      </c>
      <c r="N6" t="s">
        <v>65</v>
      </c>
      <c r="O6" s="3" t="str">
        <f>HYPERLINK(".\.\export_data\inspection_reports\80436_bracknell forest", ".\export_data\inspection_reports\80436_bracknell forest")</f>
        <v>.\export_data\inspection_reports\80436_bracknell forest</v>
      </c>
      <c r="P6" t="s">
        <v>66</v>
      </c>
    </row>
    <row r="7" spans="1:16" x14ac:dyDescent="0.35">
      <c r="A7" t="s">
        <v>67</v>
      </c>
      <c r="B7" t="s">
        <v>68</v>
      </c>
      <c r="C7" t="s">
        <v>55</v>
      </c>
      <c r="D7" t="s">
        <v>69</v>
      </c>
      <c r="E7" t="s">
        <v>70</v>
      </c>
      <c r="F7" t="s">
        <v>71</v>
      </c>
      <c r="G7" s="2" t="s">
        <v>72</v>
      </c>
      <c r="H7" t="s">
        <v>7</v>
      </c>
      <c r="I7" t="s">
        <v>8</v>
      </c>
      <c r="J7" t="s">
        <v>73</v>
      </c>
      <c r="K7" t="s">
        <v>74</v>
      </c>
      <c r="L7" t="s">
        <v>75</v>
      </c>
      <c r="M7" t="s">
        <v>12</v>
      </c>
      <c r="N7" t="s">
        <v>76</v>
      </c>
      <c r="O7" s="3" t="str">
        <f>HYPERLINK(".\.\export_data\inspection_reports\80438_brighton and hove", ".\export_data\inspection_reports\80438_brighton and hove")</f>
        <v>.\export_data\inspection_reports\80438_brighton and hove</v>
      </c>
      <c r="P7" t="s">
        <v>77</v>
      </c>
    </row>
    <row r="8" spans="1:16" x14ac:dyDescent="0.35">
      <c r="A8" t="s">
        <v>78</v>
      </c>
      <c r="B8" t="s">
        <v>79</v>
      </c>
      <c r="C8" t="s">
        <v>32</v>
      </c>
      <c r="D8" t="s">
        <v>80</v>
      </c>
      <c r="E8" t="s">
        <v>81</v>
      </c>
      <c r="F8" t="s">
        <v>82</v>
      </c>
      <c r="G8" s="2" t="s">
        <v>83</v>
      </c>
      <c r="H8" t="s">
        <v>60</v>
      </c>
      <c r="I8" t="s">
        <v>84</v>
      </c>
      <c r="J8" t="s">
        <v>85</v>
      </c>
      <c r="K8" t="s">
        <v>86</v>
      </c>
      <c r="L8" t="s">
        <v>87</v>
      </c>
      <c r="M8" t="s">
        <v>64</v>
      </c>
      <c r="N8" t="s">
        <v>88</v>
      </c>
      <c r="O8" s="3" t="str">
        <f>HYPERLINK(".\.\export_data\inspection_reports\80443_bury", ".\export_data\inspection_reports\80443_bury")</f>
        <v>.\export_data\inspection_reports\80443_bury</v>
      </c>
      <c r="P8" t="s">
        <v>89</v>
      </c>
    </row>
    <row r="9" spans="1:16" x14ac:dyDescent="0.35">
      <c r="A9" t="s">
        <v>90</v>
      </c>
      <c r="B9" t="s">
        <v>91</v>
      </c>
      <c r="C9" t="s">
        <v>2</v>
      </c>
      <c r="D9" t="s">
        <v>92</v>
      </c>
      <c r="E9" t="s">
        <v>93</v>
      </c>
      <c r="F9" t="s">
        <v>94</v>
      </c>
      <c r="G9" s="2" t="s">
        <v>95</v>
      </c>
      <c r="H9" t="s">
        <v>22</v>
      </c>
      <c r="L9" t="s">
        <v>96</v>
      </c>
      <c r="M9" t="s">
        <v>97</v>
      </c>
      <c r="N9" t="s">
        <v>98</v>
      </c>
      <c r="O9" s="3" t="str">
        <f>HYPERLINK(".\.\export_data\inspection_reports\80445_cambridgeshire", ".\export_data\inspection_reports\80445_cambridgeshire")</f>
        <v>.\export_data\inspection_reports\80445_cambridgeshire</v>
      </c>
      <c r="P9" t="s">
        <v>99</v>
      </c>
    </row>
    <row r="10" spans="1:16" x14ac:dyDescent="0.35">
      <c r="A10" t="s">
        <v>100</v>
      </c>
      <c r="B10" t="s">
        <v>101</v>
      </c>
      <c r="C10" t="s">
        <v>102</v>
      </c>
      <c r="D10" t="s">
        <v>103</v>
      </c>
      <c r="E10" t="s">
        <v>104</v>
      </c>
      <c r="F10" t="s">
        <v>105</v>
      </c>
      <c r="G10" s="2" t="s">
        <v>106</v>
      </c>
      <c r="H10" t="s">
        <v>7</v>
      </c>
      <c r="I10" t="s">
        <v>8</v>
      </c>
      <c r="J10" t="s">
        <v>107</v>
      </c>
      <c r="K10" t="s">
        <v>108</v>
      </c>
      <c r="L10" t="s">
        <v>109</v>
      </c>
      <c r="M10" t="s">
        <v>12</v>
      </c>
      <c r="N10" t="s">
        <v>110</v>
      </c>
      <c r="O10" s="3" t="str">
        <f>HYPERLINK(".\.\export_data\inspection_reports\80451_wakefield", ".\export_data\inspection_reports\80451_wakefield")</f>
        <v>.\export_data\inspection_reports\80451_wakefield</v>
      </c>
      <c r="P10" t="s">
        <v>14</v>
      </c>
    </row>
    <row r="11" spans="1:16" x14ac:dyDescent="0.35">
      <c r="A11" t="s">
        <v>111</v>
      </c>
      <c r="B11" t="s">
        <v>112</v>
      </c>
      <c r="C11" t="s">
        <v>113</v>
      </c>
      <c r="D11" t="s">
        <v>114</v>
      </c>
      <c r="E11" t="s">
        <v>115</v>
      </c>
      <c r="F11" t="s">
        <v>116</v>
      </c>
      <c r="G11" s="2" t="s">
        <v>117</v>
      </c>
      <c r="H11" t="s">
        <v>22</v>
      </c>
      <c r="I11" t="s">
        <v>118</v>
      </c>
      <c r="J11" t="s">
        <v>119</v>
      </c>
      <c r="K11" t="s">
        <v>120</v>
      </c>
      <c r="L11" t="s">
        <v>121</v>
      </c>
      <c r="M11" t="s">
        <v>27</v>
      </c>
      <c r="N11" t="s">
        <v>122</v>
      </c>
      <c r="O11" s="3" t="str">
        <f>HYPERLINK(".\.\export_data\inspection_reports\80454_cornwall", ".\export_data\inspection_reports\80454_cornwall")</f>
        <v>.\export_data\inspection_reports\80454_cornwall</v>
      </c>
      <c r="P11" t="s">
        <v>123</v>
      </c>
    </row>
    <row r="12" spans="1:16" x14ac:dyDescent="0.35">
      <c r="A12" t="s">
        <v>124</v>
      </c>
      <c r="B12" t="s">
        <v>125</v>
      </c>
      <c r="C12" t="s">
        <v>32</v>
      </c>
      <c r="D12" t="s">
        <v>126</v>
      </c>
      <c r="E12" t="s">
        <v>127</v>
      </c>
      <c r="F12" t="s">
        <v>128</v>
      </c>
      <c r="G12" s="2" t="s">
        <v>129</v>
      </c>
      <c r="H12" t="s">
        <v>22</v>
      </c>
      <c r="I12" t="s">
        <v>8</v>
      </c>
      <c r="J12" t="s">
        <v>130</v>
      </c>
      <c r="K12" t="s">
        <v>131</v>
      </c>
      <c r="L12" t="s">
        <v>132</v>
      </c>
      <c r="M12" t="s">
        <v>27</v>
      </c>
      <c r="N12" t="s">
        <v>133</v>
      </c>
      <c r="O12" s="3" t="str">
        <f>HYPERLINK(".\.\export_data\inspection_reports\2733690_cumberland", ".\export_data\inspection_reports\2733690_cumberland")</f>
        <v>.\export_data\inspection_reports\2733690_cumberland</v>
      </c>
      <c r="P12" t="s">
        <v>41</v>
      </c>
    </row>
    <row r="13" spans="1:16" x14ac:dyDescent="0.35">
      <c r="A13" t="s">
        <v>134</v>
      </c>
      <c r="B13" t="s">
        <v>135</v>
      </c>
      <c r="C13" t="s">
        <v>136</v>
      </c>
      <c r="D13" t="s">
        <v>137</v>
      </c>
      <c r="E13" t="s">
        <v>138</v>
      </c>
      <c r="F13" t="s">
        <v>139</v>
      </c>
      <c r="G13" s="2" t="s">
        <v>140</v>
      </c>
      <c r="H13" t="s">
        <v>22</v>
      </c>
      <c r="I13" t="s">
        <v>141</v>
      </c>
      <c r="J13" t="s">
        <v>142</v>
      </c>
      <c r="K13" t="s">
        <v>143</v>
      </c>
      <c r="L13" t="s">
        <v>11</v>
      </c>
      <c r="M13" t="s">
        <v>27</v>
      </c>
      <c r="N13" t="s">
        <v>144</v>
      </c>
      <c r="O13" s="3" t="str">
        <f>HYPERLINK(".\.\export_data\inspection_reports\80458_darlington", ".\export_data\inspection_reports\80458_darlington")</f>
        <v>.\export_data\inspection_reports\80458_darlington</v>
      </c>
      <c r="P13" t="s">
        <v>145</v>
      </c>
    </row>
    <row r="14" spans="1:16" x14ac:dyDescent="0.35">
      <c r="A14" t="s">
        <v>146</v>
      </c>
      <c r="B14" t="s">
        <v>147</v>
      </c>
      <c r="C14" t="s">
        <v>148</v>
      </c>
      <c r="D14" t="s">
        <v>149</v>
      </c>
      <c r="E14" t="s">
        <v>150</v>
      </c>
      <c r="F14" t="s">
        <v>151</v>
      </c>
      <c r="G14" s="2" t="s">
        <v>152</v>
      </c>
      <c r="H14" t="s">
        <v>60</v>
      </c>
      <c r="L14" t="s">
        <v>153</v>
      </c>
      <c r="M14" t="s">
        <v>64</v>
      </c>
      <c r="N14" t="s">
        <v>98</v>
      </c>
      <c r="O14" s="3" t="str">
        <f>HYPERLINK(".\.\export_data\inspection_reports\80460_derbyshire", ".\export_data\inspection_reports\80460_derbyshire")</f>
        <v>.\export_data\inspection_reports\80460_derbyshire</v>
      </c>
      <c r="P14" t="s">
        <v>154</v>
      </c>
    </row>
    <row r="15" spans="1:16" x14ac:dyDescent="0.35">
      <c r="A15" t="s">
        <v>155</v>
      </c>
      <c r="B15" t="s">
        <v>156</v>
      </c>
      <c r="C15" t="s">
        <v>113</v>
      </c>
      <c r="D15" t="s">
        <v>157</v>
      </c>
      <c r="E15" t="s">
        <v>158</v>
      </c>
      <c r="F15" t="s">
        <v>159</v>
      </c>
      <c r="G15" s="2" t="s">
        <v>160</v>
      </c>
      <c r="H15" t="s">
        <v>7</v>
      </c>
      <c r="I15" t="s">
        <v>161</v>
      </c>
      <c r="J15" t="s">
        <v>162</v>
      </c>
      <c r="K15" t="s">
        <v>163</v>
      </c>
      <c r="L15" t="s">
        <v>164</v>
      </c>
      <c r="M15" t="s">
        <v>12</v>
      </c>
      <c r="N15" t="s">
        <v>165</v>
      </c>
      <c r="O15" s="3" t="str">
        <f>HYPERLINK(".\.\export_data\inspection_reports\2532283_dorset", ".\export_data\inspection_reports\2532283_dorset")</f>
        <v>.\export_data\inspection_reports\2532283_dorset</v>
      </c>
      <c r="P15" t="s">
        <v>14</v>
      </c>
    </row>
    <row r="16" spans="1:16" x14ac:dyDescent="0.35">
      <c r="A16" t="s">
        <v>166</v>
      </c>
      <c r="B16" t="s">
        <v>167</v>
      </c>
      <c r="C16" t="s">
        <v>17</v>
      </c>
      <c r="D16" t="s">
        <v>168</v>
      </c>
      <c r="E16" t="s">
        <v>169</v>
      </c>
      <c r="F16" t="s">
        <v>170</v>
      </c>
      <c r="G16" s="2" t="s">
        <v>171</v>
      </c>
      <c r="H16" t="s">
        <v>22</v>
      </c>
      <c r="I16" t="s">
        <v>8</v>
      </c>
      <c r="J16" t="s">
        <v>172</v>
      </c>
      <c r="K16" t="s">
        <v>173</v>
      </c>
      <c r="L16" t="s">
        <v>174</v>
      </c>
      <c r="M16" t="s">
        <v>27</v>
      </c>
      <c r="N16" t="s">
        <v>175</v>
      </c>
      <c r="O16" s="3" t="str">
        <f>HYPERLINK(".\.\export_data\inspection_reports\80464_dudley", ".\export_data\inspection_reports\80464_dudley")</f>
        <v>.\export_data\inspection_reports\80464_dudley</v>
      </c>
      <c r="P16" t="s">
        <v>41</v>
      </c>
    </row>
    <row r="17" spans="1:16" x14ac:dyDescent="0.35">
      <c r="A17" t="s">
        <v>176</v>
      </c>
      <c r="B17" t="s">
        <v>177</v>
      </c>
      <c r="C17" t="s">
        <v>136</v>
      </c>
      <c r="D17" t="s">
        <v>178</v>
      </c>
      <c r="E17" t="s">
        <v>179</v>
      </c>
      <c r="F17" t="s">
        <v>180</v>
      </c>
      <c r="G17" s="2" t="s">
        <v>181</v>
      </c>
      <c r="H17" t="s">
        <v>22</v>
      </c>
      <c r="I17" t="s">
        <v>8</v>
      </c>
      <c r="J17" t="s">
        <v>182</v>
      </c>
      <c r="K17" t="s">
        <v>183</v>
      </c>
      <c r="L17" t="s">
        <v>184</v>
      </c>
      <c r="M17" t="s">
        <v>27</v>
      </c>
      <c r="N17" t="s">
        <v>185</v>
      </c>
      <c r="O17" s="3" t="str">
        <f>HYPERLINK(".\.\export_data\inspection_reports\80465_durham", ".\export_data\inspection_reports\80465_durham")</f>
        <v>.\export_data\inspection_reports\80465_durham</v>
      </c>
      <c r="P17" t="s">
        <v>186</v>
      </c>
    </row>
    <row r="18" spans="1:16" x14ac:dyDescent="0.35">
      <c r="A18" t="s">
        <v>187</v>
      </c>
      <c r="B18" t="s">
        <v>188</v>
      </c>
      <c r="C18" t="s">
        <v>55</v>
      </c>
      <c r="D18" t="s">
        <v>189</v>
      </c>
      <c r="E18" t="s">
        <v>190</v>
      </c>
      <c r="F18" t="s">
        <v>191</v>
      </c>
      <c r="G18" s="2" t="s">
        <v>192</v>
      </c>
      <c r="H18" t="s">
        <v>22</v>
      </c>
      <c r="I18" t="s">
        <v>193</v>
      </c>
      <c r="J18" t="s">
        <v>9</v>
      </c>
      <c r="K18" t="s">
        <v>10</v>
      </c>
      <c r="L18" t="s">
        <v>11</v>
      </c>
      <c r="M18" t="s">
        <v>27</v>
      </c>
      <c r="N18" t="s">
        <v>194</v>
      </c>
      <c r="O18" s="3" t="str">
        <f>HYPERLINK(".\.\export_data\inspection_reports\80467_east sussex", ".\export_data\inspection_reports\80467_east sussex")</f>
        <v>.\export_data\inspection_reports\80467_east sussex</v>
      </c>
      <c r="P18" t="s">
        <v>186</v>
      </c>
    </row>
    <row r="19" spans="1:16" x14ac:dyDescent="0.35">
      <c r="A19" t="s">
        <v>195</v>
      </c>
      <c r="B19" t="s">
        <v>196</v>
      </c>
      <c r="C19" t="s">
        <v>136</v>
      </c>
      <c r="D19" t="s">
        <v>197</v>
      </c>
      <c r="E19" t="s">
        <v>198</v>
      </c>
      <c r="F19" t="s">
        <v>199</v>
      </c>
      <c r="G19" s="2" t="s">
        <v>200</v>
      </c>
      <c r="H19" t="s">
        <v>22</v>
      </c>
      <c r="I19" t="s">
        <v>201</v>
      </c>
      <c r="J19" t="s">
        <v>202</v>
      </c>
      <c r="K19" t="s">
        <v>203</v>
      </c>
      <c r="L19" t="s">
        <v>204</v>
      </c>
      <c r="M19" t="s">
        <v>27</v>
      </c>
      <c r="N19" t="s">
        <v>205</v>
      </c>
      <c r="O19" s="3" t="str">
        <f>HYPERLINK(".\.\export_data\inspection_reports\80469_gateshead", ".\export_data\inspection_reports\80469_gateshead")</f>
        <v>.\export_data\inspection_reports\80469_gateshead</v>
      </c>
      <c r="P19" t="s">
        <v>186</v>
      </c>
    </row>
    <row r="20" spans="1:16" x14ac:dyDescent="0.35">
      <c r="A20" t="s">
        <v>206</v>
      </c>
      <c r="B20" t="s">
        <v>207</v>
      </c>
      <c r="C20" t="s">
        <v>113</v>
      </c>
      <c r="D20" t="s">
        <v>208</v>
      </c>
      <c r="E20" t="s">
        <v>209</v>
      </c>
      <c r="F20" t="s">
        <v>210</v>
      </c>
      <c r="G20" s="2" t="s">
        <v>211</v>
      </c>
      <c r="H20" t="s">
        <v>22</v>
      </c>
      <c r="I20" t="s">
        <v>8</v>
      </c>
      <c r="J20" t="s">
        <v>212</v>
      </c>
      <c r="K20" t="s">
        <v>213</v>
      </c>
      <c r="L20" t="s">
        <v>214</v>
      </c>
      <c r="M20" t="s">
        <v>27</v>
      </c>
      <c r="N20" t="s">
        <v>215</v>
      </c>
      <c r="O20" s="3" t="str">
        <f>HYPERLINK(".\.\export_data\inspection_reports\80470_gloucestershire", ".\export_data\inspection_reports\80470_gloucestershire")</f>
        <v>.\export_data\inspection_reports\80470_gloucestershire</v>
      </c>
      <c r="P20" t="s">
        <v>41</v>
      </c>
    </row>
    <row r="21" spans="1:16" x14ac:dyDescent="0.35">
      <c r="A21" t="s">
        <v>216</v>
      </c>
      <c r="B21" t="s">
        <v>217</v>
      </c>
      <c r="C21" t="s">
        <v>32</v>
      </c>
      <c r="D21" t="s">
        <v>218</v>
      </c>
      <c r="E21" t="s">
        <v>219</v>
      </c>
      <c r="F21" t="s">
        <v>220</v>
      </c>
      <c r="G21" s="2" t="s">
        <v>221</v>
      </c>
      <c r="H21" t="s">
        <v>60</v>
      </c>
      <c r="I21" t="s">
        <v>222</v>
      </c>
      <c r="J21" t="s">
        <v>223</v>
      </c>
      <c r="K21" t="s">
        <v>224</v>
      </c>
      <c r="L21" t="s">
        <v>225</v>
      </c>
      <c r="M21" t="s">
        <v>64</v>
      </c>
      <c r="N21" t="s">
        <v>226</v>
      </c>
      <c r="O21" s="3" t="str">
        <f>HYPERLINK(".\.\export_data\inspection_reports\80471_halton", ".\export_data\inspection_reports\80471_halton")</f>
        <v>.\export_data\inspection_reports\80471_halton</v>
      </c>
      <c r="P21" t="s">
        <v>154</v>
      </c>
    </row>
    <row r="22" spans="1:16" x14ac:dyDescent="0.35">
      <c r="A22" t="s">
        <v>227</v>
      </c>
      <c r="B22" t="s">
        <v>228</v>
      </c>
      <c r="C22" t="s">
        <v>136</v>
      </c>
      <c r="D22" t="s">
        <v>229</v>
      </c>
      <c r="E22" t="s">
        <v>230</v>
      </c>
      <c r="F22" t="s">
        <v>231</v>
      </c>
      <c r="G22" s="2" t="s">
        <v>232</v>
      </c>
      <c r="H22" t="s">
        <v>7</v>
      </c>
      <c r="I22" t="s">
        <v>233</v>
      </c>
      <c r="J22" t="s">
        <v>234</v>
      </c>
      <c r="K22" t="s">
        <v>235</v>
      </c>
      <c r="L22" t="s">
        <v>236</v>
      </c>
      <c r="M22" t="s">
        <v>12</v>
      </c>
      <c r="N22" t="s">
        <v>237</v>
      </c>
      <c r="O22" s="3" t="str">
        <f>HYPERLINK(".\.\export_data\inspection_reports\80473_hartlepool", ".\export_data\inspection_reports\80473_hartlepool")</f>
        <v>.\export_data\inspection_reports\80473_hartlepool</v>
      </c>
      <c r="P22" t="s">
        <v>238</v>
      </c>
    </row>
    <row r="23" spans="1:16" x14ac:dyDescent="0.35">
      <c r="A23" t="s">
        <v>239</v>
      </c>
      <c r="B23" t="s">
        <v>240</v>
      </c>
      <c r="C23" t="s">
        <v>17</v>
      </c>
      <c r="D23" t="s">
        <v>241</v>
      </c>
      <c r="E23" t="s">
        <v>242</v>
      </c>
      <c r="F23" t="s">
        <v>243</v>
      </c>
      <c r="G23" s="2" t="s">
        <v>244</v>
      </c>
      <c r="H23" t="s">
        <v>22</v>
      </c>
      <c r="I23" t="s">
        <v>245</v>
      </c>
      <c r="J23" t="s">
        <v>246</v>
      </c>
      <c r="K23" t="s">
        <v>247</v>
      </c>
      <c r="L23" t="s">
        <v>62</v>
      </c>
      <c r="M23" t="s">
        <v>27</v>
      </c>
      <c r="N23" t="s">
        <v>248</v>
      </c>
      <c r="O23" s="3" t="str">
        <f>HYPERLINK(".\.\export_data\inspection_reports\80474_herefordshire", ".\export_data\inspection_reports\80474_herefordshire")</f>
        <v>.\export_data\inspection_reports\80474_herefordshire</v>
      </c>
      <c r="P23" t="s">
        <v>41</v>
      </c>
    </row>
    <row r="24" spans="1:16" x14ac:dyDescent="0.35">
      <c r="A24" t="s">
        <v>249</v>
      </c>
      <c r="B24" t="s">
        <v>250</v>
      </c>
      <c r="C24" t="s">
        <v>2</v>
      </c>
      <c r="D24" t="s">
        <v>251</v>
      </c>
      <c r="E24" t="s">
        <v>252</v>
      </c>
      <c r="F24" t="s">
        <v>253</v>
      </c>
      <c r="G24" s="2" t="s">
        <v>254</v>
      </c>
      <c r="H24" t="s">
        <v>60</v>
      </c>
      <c r="I24" t="s">
        <v>255</v>
      </c>
      <c r="J24" t="s">
        <v>256</v>
      </c>
      <c r="K24" t="s">
        <v>257</v>
      </c>
      <c r="L24" t="s">
        <v>258</v>
      </c>
      <c r="M24" t="s">
        <v>64</v>
      </c>
      <c r="N24" t="s">
        <v>259</v>
      </c>
      <c r="O24" s="3" t="str">
        <f>HYPERLINK(".\.\export_data\inspection_reports\80475_hertfordshire", ".\export_data\inspection_reports\80475_hertfordshire")</f>
        <v>.\export_data\inspection_reports\80475_hertfordshire</v>
      </c>
      <c r="P24" t="s">
        <v>260</v>
      </c>
    </row>
    <row r="25" spans="1:16" x14ac:dyDescent="0.35">
      <c r="A25" t="s">
        <v>261</v>
      </c>
      <c r="B25" t="s">
        <v>262</v>
      </c>
      <c r="C25" t="s">
        <v>102</v>
      </c>
      <c r="D25" t="s">
        <v>263</v>
      </c>
      <c r="E25" t="s">
        <v>264</v>
      </c>
      <c r="F25" t="s">
        <v>265</v>
      </c>
      <c r="G25" s="2" t="s">
        <v>266</v>
      </c>
      <c r="H25" t="s">
        <v>22</v>
      </c>
      <c r="I25" t="s">
        <v>267</v>
      </c>
      <c r="J25" t="s">
        <v>223</v>
      </c>
      <c r="K25" t="s">
        <v>224</v>
      </c>
      <c r="L25" t="s">
        <v>268</v>
      </c>
      <c r="M25" t="s">
        <v>27</v>
      </c>
      <c r="N25" t="s">
        <v>269</v>
      </c>
      <c r="O25" s="3" t="str">
        <f>HYPERLINK(".\.\export_data\inspection_reports\80477_kingston upon hull", ".\export_data\inspection_reports\80477_kingston upon hull")</f>
        <v>.\export_data\inspection_reports\80477_kingston upon hull</v>
      </c>
      <c r="P25" t="s">
        <v>145</v>
      </c>
    </row>
    <row r="26" spans="1:16" x14ac:dyDescent="0.35">
      <c r="A26" t="s">
        <v>270</v>
      </c>
      <c r="B26" t="s">
        <v>271</v>
      </c>
      <c r="C26" t="s">
        <v>102</v>
      </c>
      <c r="D26" t="s">
        <v>272</v>
      </c>
      <c r="E26" t="s">
        <v>273</v>
      </c>
      <c r="F26" t="s">
        <v>274</v>
      </c>
      <c r="G26" s="2" t="s">
        <v>275</v>
      </c>
      <c r="H26" t="s">
        <v>22</v>
      </c>
      <c r="I26" t="s">
        <v>276</v>
      </c>
      <c r="J26" t="s">
        <v>277</v>
      </c>
      <c r="K26" t="s">
        <v>278</v>
      </c>
      <c r="L26" t="s">
        <v>279</v>
      </c>
      <c r="M26" t="s">
        <v>27</v>
      </c>
      <c r="N26" t="s">
        <v>280</v>
      </c>
      <c r="O26" s="3" t="str">
        <f>HYPERLINK(".\.\export_data\inspection_reports\80478_kirklees", ".\export_data\inspection_reports\80478_kirklees")</f>
        <v>.\export_data\inspection_reports\80478_kirklees</v>
      </c>
      <c r="P26" t="s">
        <v>186</v>
      </c>
    </row>
    <row r="27" spans="1:16" x14ac:dyDescent="0.35">
      <c r="A27" t="s">
        <v>281</v>
      </c>
      <c r="B27" t="s">
        <v>282</v>
      </c>
      <c r="C27" t="s">
        <v>32</v>
      </c>
      <c r="D27" t="s">
        <v>283</v>
      </c>
      <c r="E27" t="s">
        <v>284</v>
      </c>
      <c r="F27" t="s">
        <v>285</v>
      </c>
      <c r="G27" s="2" t="s">
        <v>286</v>
      </c>
      <c r="H27" t="s">
        <v>60</v>
      </c>
      <c r="I27" t="s">
        <v>8</v>
      </c>
      <c r="J27" t="s">
        <v>287</v>
      </c>
      <c r="K27" t="s">
        <v>288</v>
      </c>
      <c r="L27" t="s">
        <v>289</v>
      </c>
      <c r="M27" t="s">
        <v>64</v>
      </c>
      <c r="N27" t="s">
        <v>290</v>
      </c>
      <c r="O27" s="3" t="str">
        <f>HYPERLINK(".\.\export_data\inspection_reports\80480_lancashire", ".\export_data\inspection_reports\80480_lancashire")</f>
        <v>.\export_data\inspection_reports\80480_lancashire</v>
      </c>
      <c r="P27" t="s">
        <v>154</v>
      </c>
    </row>
    <row r="28" spans="1:16" x14ac:dyDescent="0.35">
      <c r="A28" t="s">
        <v>291</v>
      </c>
      <c r="B28" t="s">
        <v>292</v>
      </c>
      <c r="C28" t="s">
        <v>148</v>
      </c>
      <c r="D28" t="s">
        <v>293</v>
      </c>
      <c r="E28" t="s">
        <v>294</v>
      </c>
      <c r="F28" t="s">
        <v>295</v>
      </c>
      <c r="G28" s="2" t="s">
        <v>296</v>
      </c>
      <c r="H28" t="s">
        <v>22</v>
      </c>
      <c r="I28" t="s">
        <v>297</v>
      </c>
      <c r="J28" t="s">
        <v>298</v>
      </c>
      <c r="K28" t="s">
        <v>299</v>
      </c>
      <c r="L28" t="s">
        <v>96</v>
      </c>
      <c r="M28" t="s">
        <v>27</v>
      </c>
      <c r="N28" t="s">
        <v>300</v>
      </c>
      <c r="O28" s="3" t="str">
        <f>HYPERLINK(".\.\export_data\inspection_reports\80484_lincolnshire", ".\export_data\inspection_reports\80484_lincolnshire")</f>
        <v>.\export_data\inspection_reports\80484_lincolnshire</v>
      </c>
      <c r="P28" t="s">
        <v>301</v>
      </c>
    </row>
    <row r="29" spans="1:16" x14ac:dyDescent="0.35">
      <c r="A29" t="s">
        <v>302</v>
      </c>
      <c r="B29" t="s">
        <v>303</v>
      </c>
      <c r="C29" t="s">
        <v>304</v>
      </c>
      <c r="D29" t="s">
        <v>305</v>
      </c>
      <c r="E29" t="s">
        <v>306</v>
      </c>
      <c r="F29" t="s">
        <v>307</v>
      </c>
      <c r="G29" s="2" t="s">
        <v>308</v>
      </c>
      <c r="H29" t="s">
        <v>22</v>
      </c>
      <c r="I29" t="s">
        <v>222</v>
      </c>
      <c r="J29" t="s">
        <v>309</v>
      </c>
      <c r="K29" t="s">
        <v>310</v>
      </c>
      <c r="L29" t="s">
        <v>311</v>
      </c>
      <c r="M29" t="s">
        <v>27</v>
      </c>
      <c r="N29" t="s">
        <v>312</v>
      </c>
      <c r="O29" s="3" t="str">
        <f>HYPERLINK(".\.\export_data\inspection_reports\80486_barking and dagenham", ".\export_data\inspection_reports\80486_barking and dagenham")</f>
        <v>.\export_data\inspection_reports\80486_barking and dagenham</v>
      </c>
      <c r="P29" t="s">
        <v>41</v>
      </c>
    </row>
    <row r="30" spans="1:16" x14ac:dyDescent="0.35">
      <c r="A30" t="s">
        <v>313</v>
      </c>
      <c r="B30" t="s">
        <v>314</v>
      </c>
      <c r="C30" t="s">
        <v>304</v>
      </c>
      <c r="D30" t="s">
        <v>315</v>
      </c>
      <c r="E30" t="s">
        <v>316</v>
      </c>
      <c r="F30" t="s">
        <v>317</v>
      </c>
      <c r="G30" s="2" t="s">
        <v>318</v>
      </c>
      <c r="H30" t="s">
        <v>60</v>
      </c>
      <c r="I30" t="s">
        <v>8</v>
      </c>
      <c r="J30" t="s">
        <v>319</v>
      </c>
      <c r="K30" t="s">
        <v>320</v>
      </c>
      <c r="L30" t="s">
        <v>321</v>
      </c>
      <c r="M30" t="s">
        <v>64</v>
      </c>
      <c r="N30" t="s">
        <v>322</v>
      </c>
      <c r="O30" s="3" t="str">
        <f>HYPERLINK(".\.\export_data\inspection_reports\80488_bexley", ".\export_data\inspection_reports\80488_bexley")</f>
        <v>.\export_data\inspection_reports\80488_bexley</v>
      </c>
      <c r="P30" t="s">
        <v>323</v>
      </c>
    </row>
    <row r="31" spans="1:16" x14ac:dyDescent="0.35">
      <c r="A31" t="s">
        <v>324</v>
      </c>
      <c r="B31" t="s">
        <v>325</v>
      </c>
      <c r="C31" t="s">
        <v>304</v>
      </c>
      <c r="D31" t="s">
        <v>326</v>
      </c>
      <c r="E31" t="s">
        <v>327</v>
      </c>
      <c r="F31" t="s">
        <v>328</v>
      </c>
      <c r="G31" s="2" t="s">
        <v>329</v>
      </c>
      <c r="H31" t="s">
        <v>7</v>
      </c>
      <c r="I31" t="s">
        <v>330</v>
      </c>
      <c r="J31" t="s">
        <v>331</v>
      </c>
      <c r="K31" t="s">
        <v>332</v>
      </c>
      <c r="L31" t="s">
        <v>333</v>
      </c>
      <c r="M31" t="s">
        <v>12</v>
      </c>
      <c r="N31" t="s">
        <v>334</v>
      </c>
      <c r="O31" s="3" t="str">
        <f>HYPERLINK(".\.\export_data\inspection_reports\80489_brent", ".\export_data\inspection_reports\80489_brent")</f>
        <v>.\export_data\inspection_reports\80489_brent</v>
      </c>
      <c r="P31" t="s">
        <v>335</v>
      </c>
    </row>
    <row r="32" spans="1:16" x14ac:dyDescent="0.35">
      <c r="A32" t="s">
        <v>336</v>
      </c>
      <c r="B32" t="s">
        <v>337</v>
      </c>
      <c r="C32" t="s">
        <v>304</v>
      </c>
      <c r="D32" t="s">
        <v>338</v>
      </c>
      <c r="E32" t="s">
        <v>339</v>
      </c>
      <c r="F32" t="s">
        <v>340</v>
      </c>
      <c r="G32" s="2" t="s">
        <v>341</v>
      </c>
      <c r="H32" t="s">
        <v>22</v>
      </c>
      <c r="I32" t="s">
        <v>8</v>
      </c>
      <c r="J32" t="s">
        <v>342</v>
      </c>
      <c r="K32" t="s">
        <v>343</v>
      </c>
      <c r="L32" t="s">
        <v>344</v>
      </c>
      <c r="M32" t="s">
        <v>97</v>
      </c>
      <c r="N32" t="s">
        <v>345</v>
      </c>
      <c r="O32" s="3" t="str">
        <f>HYPERLINK(".\.\export_data\inspection_reports\80494_enfield", ".\export_data\inspection_reports\80494_enfield")</f>
        <v>.\export_data\inspection_reports\80494_enfield</v>
      </c>
      <c r="P32" t="s">
        <v>346</v>
      </c>
    </row>
    <row r="33" spans="1:16" x14ac:dyDescent="0.35">
      <c r="A33" t="s">
        <v>347</v>
      </c>
      <c r="B33" t="s">
        <v>348</v>
      </c>
      <c r="C33" t="s">
        <v>304</v>
      </c>
      <c r="D33" t="s">
        <v>349</v>
      </c>
      <c r="E33" t="s">
        <v>350</v>
      </c>
      <c r="F33" t="s">
        <v>351</v>
      </c>
      <c r="G33" s="2" t="s">
        <v>352</v>
      </c>
      <c r="H33" t="s">
        <v>7</v>
      </c>
      <c r="I33" t="s">
        <v>353</v>
      </c>
      <c r="J33" t="s">
        <v>354</v>
      </c>
      <c r="K33" t="s">
        <v>355</v>
      </c>
      <c r="L33" t="s">
        <v>356</v>
      </c>
      <c r="M33" t="s">
        <v>12</v>
      </c>
      <c r="N33" t="s">
        <v>357</v>
      </c>
      <c r="O33" s="3" t="str">
        <f>HYPERLINK(".\.\export_data\inspection_reports\80495_greenwich", ".\export_data\inspection_reports\80495_greenwich")</f>
        <v>.\export_data\inspection_reports\80495_greenwich</v>
      </c>
      <c r="P33" t="s">
        <v>358</v>
      </c>
    </row>
    <row r="34" spans="1:16" x14ac:dyDescent="0.35">
      <c r="A34" t="s">
        <v>359</v>
      </c>
      <c r="B34" t="s">
        <v>360</v>
      </c>
      <c r="C34" t="s">
        <v>304</v>
      </c>
      <c r="D34" t="s">
        <v>361</v>
      </c>
      <c r="E34" t="s">
        <v>362</v>
      </c>
      <c r="F34" t="s">
        <v>363</v>
      </c>
      <c r="G34" s="2" t="s">
        <v>364</v>
      </c>
      <c r="H34" t="s">
        <v>7</v>
      </c>
      <c r="I34" t="s">
        <v>8</v>
      </c>
      <c r="J34" t="s">
        <v>365</v>
      </c>
      <c r="K34" t="s">
        <v>268</v>
      </c>
      <c r="L34" t="s">
        <v>366</v>
      </c>
      <c r="M34" t="s">
        <v>12</v>
      </c>
      <c r="N34" t="s">
        <v>367</v>
      </c>
      <c r="O34" s="3" t="str">
        <f>HYPERLINK(".\.\export_data\inspection_reports\80498_haringey", ".\export_data\inspection_reports\80498_haringey")</f>
        <v>.\export_data\inspection_reports\80498_haringey</v>
      </c>
      <c r="P34" t="s">
        <v>14</v>
      </c>
    </row>
    <row r="35" spans="1:16" x14ac:dyDescent="0.35">
      <c r="A35" t="s">
        <v>368</v>
      </c>
      <c r="B35" t="s">
        <v>369</v>
      </c>
      <c r="C35" t="s">
        <v>304</v>
      </c>
      <c r="D35" t="s">
        <v>370</v>
      </c>
      <c r="E35" t="s">
        <v>371</v>
      </c>
      <c r="F35" t="s">
        <v>372</v>
      </c>
      <c r="G35" s="2" t="s">
        <v>373</v>
      </c>
      <c r="H35" t="s">
        <v>22</v>
      </c>
      <c r="I35" t="s">
        <v>8</v>
      </c>
      <c r="J35" t="s">
        <v>374</v>
      </c>
      <c r="K35" t="s">
        <v>375</v>
      </c>
      <c r="L35" t="s">
        <v>310</v>
      </c>
      <c r="M35" t="s">
        <v>27</v>
      </c>
      <c r="N35" t="s">
        <v>376</v>
      </c>
      <c r="O35" s="3" t="str">
        <f>HYPERLINK(".\.\export_data\inspection_reports\80501_hillingdon", ".\export_data\inspection_reports\80501_hillingdon")</f>
        <v>.\export_data\inspection_reports\80501_hillingdon</v>
      </c>
      <c r="P35" t="s">
        <v>41</v>
      </c>
    </row>
    <row r="36" spans="1:16" x14ac:dyDescent="0.35">
      <c r="A36" t="s">
        <v>377</v>
      </c>
      <c r="B36" t="s">
        <v>378</v>
      </c>
      <c r="C36" t="s">
        <v>304</v>
      </c>
      <c r="D36" t="s">
        <v>379</v>
      </c>
      <c r="E36" t="s">
        <v>380</v>
      </c>
      <c r="F36" t="s">
        <v>381</v>
      </c>
      <c r="G36" s="2" t="s">
        <v>382</v>
      </c>
      <c r="H36" t="s">
        <v>22</v>
      </c>
      <c r="I36" t="s">
        <v>8</v>
      </c>
      <c r="J36" t="s">
        <v>383</v>
      </c>
      <c r="K36" t="s">
        <v>384</v>
      </c>
      <c r="L36" t="s">
        <v>385</v>
      </c>
      <c r="M36" t="s">
        <v>27</v>
      </c>
      <c r="N36" t="s">
        <v>386</v>
      </c>
      <c r="O36" s="3" t="str">
        <f>HYPERLINK(".\.\export_data\inspection_reports\80503_hounslow", ".\export_data\inspection_reports\80503_hounslow")</f>
        <v>.\export_data\inspection_reports\80503_hounslow</v>
      </c>
      <c r="P36" t="s">
        <v>41</v>
      </c>
    </row>
    <row r="37" spans="1:16" x14ac:dyDescent="0.35">
      <c r="A37" t="s">
        <v>387</v>
      </c>
      <c r="B37" t="s">
        <v>388</v>
      </c>
      <c r="C37" t="s">
        <v>304</v>
      </c>
      <c r="D37" t="s">
        <v>389</v>
      </c>
      <c r="E37" t="s">
        <v>390</v>
      </c>
      <c r="F37" t="s">
        <v>391</v>
      </c>
      <c r="G37" s="2" t="s">
        <v>392</v>
      </c>
      <c r="H37" t="s">
        <v>22</v>
      </c>
      <c r="I37" t="s">
        <v>393</v>
      </c>
      <c r="J37" t="s">
        <v>394</v>
      </c>
      <c r="K37" t="s">
        <v>395</v>
      </c>
      <c r="L37" t="s">
        <v>396</v>
      </c>
      <c r="M37" t="s">
        <v>27</v>
      </c>
      <c r="N37" t="s">
        <v>397</v>
      </c>
      <c r="O37" s="3" t="str">
        <f>HYPERLINK(".\.\export_data\inspection_reports\80508_lewisham", ".\export_data\inspection_reports\80508_lewisham")</f>
        <v>.\export_data\inspection_reports\80508_lewisham</v>
      </c>
      <c r="P37" t="s">
        <v>41</v>
      </c>
    </row>
    <row r="38" spans="1:16" x14ac:dyDescent="0.35">
      <c r="A38" t="s">
        <v>398</v>
      </c>
      <c r="B38" t="s">
        <v>399</v>
      </c>
      <c r="C38" t="s">
        <v>304</v>
      </c>
      <c r="D38" t="s">
        <v>400</v>
      </c>
      <c r="E38" t="s">
        <v>401</v>
      </c>
      <c r="F38" t="s">
        <v>402</v>
      </c>
      <c r="G38" s="2" t="s">
        <v>403</v>
      </c>
      <c r="H38" t="s">
        <v>22</v>
      </c>
      <c r="I38" t="s">
        <v>404</v>
      </c>
      <c r="J38" t="s">
        <v>405</v>
      </c>
      <c r="K38" t="s">
        <v>406</v>
      </c>
      <c r="L38" t="s">
        <v>407</v>
      </c>
      <c r="M38" t="s">
        <v>27</v>
      </c>
      <c r="N38" t="s">
        <v>408</v>
      </c>
      <c r="O38" s="3" t="str">
        <f>HYPERLINK(".\.\export_data\inspection_reports\80511_newham", ".\export_data\inspection_reports\80511_newham")</f>
        <v>.\export_data\inspection_reports\80511_newham</v>
      </c>
      <c r="P38" t="s">
        <v>41</v>
      </c>
    </row>
    <row r="39" spans="1:16" x14ac:dyDescent="0.35">
      <c r="A39" t="s">
        <v>409</v>
      </c>
      <c r="B39" t="s">
        <v>410</v>
      </c>
      <c r="C39" t="s">
        <v>304</v>
      </c>
      <c r="D39" t="s">
        <v>411</v>
      </c>
      <c r="E39" t="s">
        <v>412</v>
      </c>
      <c r="F39" t="s">
        <v>413</v>
      </c>
      <c r="G39" s="2" t="s">
        <v>414</v>
      </c>
      <c r="H39" t="s">
        <v>60</v>
      </c>
      <c r="I39" t="s">
        <v>415</v>
      </c>
      <c r="J39" t="s">
        <v>416</v>
      </c>
      <c r="K39" t="s">
        <v>417</v>
      </c>
      <c r="L39" t="s">
        <v>418</v>
      </c>
      <c r="M39" t="s">
        <v>64</v>
      </c>
      <c r="N39" t="s">
        <v>419</v>
      </c>
      <c r="O39" s="3" t="str">
        <f>HYPERLINK(".\.\export_data\inspection_reports\80512_redbridge", ".\export_data\inspection_reports\80512_redbridge")</f>
        <v>.\export_data\inspection_reports\80512_redbridge</v>
      </c>
      <c r="P39" t="s">
        <v>89</v>
      </c>
    </row>
    <row r="40" spans="1:16" x14ac:dyDescent="0.35">
      <c r="A40" t="s">
        <v>420</v>
      </c>
      <c r="B40" t="s">
        <v>421</v>
      </c>
      <c r="C40" t="s">
        <v>304</v>
      </c>
      <c r="D40" t="s">
        <v>422</v>
      </c>
      <c r="E40" t="s">
        <v>423</v>
      </c>
      <c r="F40" t="s">
        <v>424</v>
      </c>
      <c r="G40" s="2" t="s">
        <v>425</v>
      </c>
      <c r="H40" t="s">
        <v>7</v>
      </c>
      <c r="I40" t="s">
        <v>426</v>
      </c>
      <c r="J40" t="s">
        <v>427</v>
      </c>
      <c r="K40" t="s">
        <v>428</v>
      </c>
      <c r="L40" t="s">
        <v>319</v>
      </c>
      <c r="M40" t="s">
        <v>12</v>
      </c>
      <c r="N40" t="s">
        <v>429</v>
      </c>
      <c r="O40" s="3" t="str">
        <f>HYPERLINK(".\.\export_data\inspection_reports\80513_richmond upon thames", ".\export_data\inspection_reports\80513_richmond upon thames")</f>
        <v>.\export_data\inspection_reports\80513_richmond upon thames</v>
      </c>
      <c r="P40" t="s">
        <v>335</v>
      </c>
    </row>
    <row r="41" spans="1:16" x14ac:dyDescent="0.35">
      <c r="A41" t="s">
        <v>430</v>
      </c>
      <c r="B41" t="s">
        <v>431</v>
      </c>
      <c r="C41" t="s">
        <v>304</v>
      </c>
      <c r="D41" t="s">
        <v>432</v>
      </c>
      <c r="E41" t="s">
        <v>433</v>
      </c>
      <c r="F41" t="s">
        <v>434</v>
      </c>
      <c r="G41" s="2" t="s">
        <v>435</v>
      </c>
      <c r="H41" t="s">
        <v>22</v>
      </c>
      <c r="I41" t="s">
        <v>8</v>
      </c>
      <c r="J41" t="s">
        <v>24</v>
      </c>
      <c r="K41" t="s">
        <v>25</v>
      </c>
      <c r="L41" t="s">
        <v>436</v>
      </c>
      <c r="M41" t="s">
        <v>27</v>
      </c>
      <c r="N41" t="s">
        <v>28</v>
      </c>
      <c r="O41" s="3" t="str">
        <f>HYPERLINK(".\.\export_data\inspection_reports\80516_tower hamlets", ".\export_data\inspection_reports\80516_tower hamlets")</f>
        <v>.\export_data\inspection_reports\80516_tower hamlets</v>
      </c>
      <c r="P41" t="s">
        <v>41</v>
      </c>
    </row>
    <row r="42" spans="1:16" x14ac:dyDescent="0.35">
      <c r="A42" t="s">
        <v>437</v>
      </c>
      <c r="B42" t="s">
        <v>438</v>
      </c>
      <c r="C42" t="s">
        <v>304</v>
      </c>
      <c r="D42" t="s">
        <v>439</v>
      </c>
      <c r="E42" t="s">
        <v>440</v>
      </c>
      <c r="F42" t="s">
        <v>441</v>
      </c>
      <c r="G42" s="2" t="s">
        <v>442</v>
      </c>
      <c r="H42" t="s">
        <v>22</v>
      </c>
      <c r="I42" t="s">
        <v>161</v>
      </c>
      <c r="J42" t="s">
        <v>298</v>
      </c>
      <c r="K42" t="s">
        <v>299</v>
      </c>
      <c r="L42" t="s">
        <v>63</v>
      </c>
      <c r="M42" t="s">
        <v>27</v>
      </c>
      <c r="N42" t="s">
        <v>300</v>
      </c>
      <c r="O42" s="3" t="str">
        <f>HYPERLINK(".\.\export_data\inspection_reports\80517_waltham forest", ".\export_data\inspection_reports\80517_waltham forest")</f>
        <v>.\export_data\inspection_reports\80517_waltham forest</v>
      </c>
      <c r="P42" t="s">
        <v>145</v>
      </c>
    </row>
    <row r="43" spans="1:16" x14ac:dyDescent="0.35">
      <c r="A43" t="s">
        <v>443</v>
      </c>
      <c r="B43" t="s">
        <v>444</v>
      </c>
      <c r="C43" t="s">
        <v>445</v>
      </c>
      <c r="D43" t="s">
        <v>446</v>
      </c>
      <c r="E43" t="s">
        <v>447</v>
      </c>
      <c r="F43" t="s">
        <v>448</v>
      </c>
      <c r="G43" s="2" t="s">
        <v>449</v>
      </c>
      <c r="H43" t="s">
        <v>22</v>
      </c>
      <c r="I43" t="s">
        <v>450</v>
      </c>
      <c r="J43" t="s">
        <v>451</v>
      </c>
      <c r="K43" t="s">
        <v>452</v>
      </c>
      <c r="L43" t="s">
        <v>453</v>
      </c>
      <c r="M43" t="s">
        <v>27</v>
      </c>
      <c r="N43" t="s">
        <v>454</v>
      </c>
      <c r="O43" s="3" t="str">
        <f>HYPERLINK(".\.\export_data\inspection_reports\80522_medway", ".\export_data\inspection_reports\80522_medway")</f>
        <v>.\export_data\inspection_reports\80522_medway</v>
      </c>
      <c r="P43" t="s">
        <v>41</v>
      </c>
    </row>
    <row r="44" spans="1:16" x14ac:dyDescent="0.35">
      <c r="A44" t="s">
        <v>455</v>
      </c>
      <c r="B44" t="s">
        <v>456</v>
      </c>
      <c r="C44" t="s">
        <v>136</v>
      </c>
      <c r="D44" t="s">
        <v>457</v>
      </c>
      <c r="E44" t="s">
        <v>458</v>
      </c>
      <c r="F44" t="s">
        <v>459</v>
      </c>
      <c r="G44" s="2" t="s">
        <v>460</v>
      </c>
      <c r="H44" t="s">
        <v>7</v>
      </c>
      <c r="I44" t="s">
        <v>461</v>
      </c>
      <c r="J44" t="s">
        <v>462</v>
      </c>
      <c r="K44" t="s">
        <v>463</v>
      </c>
      <c r="L44" t="s">
        <v>320</v>
      </c>
      <c r="M44" t="s">
        <v>12</v>
      </c>
      <c r="N44" t="s">
        <v>464</v>
      </c>
      <c r="O44" s="3" t="str">
        <f>HYPERLINK(".\.\export_data\inspection_reports\80523_middlesbrough", ".\export_data\inspection_reports\80523_middlesbrough")</f>
        <v>.\export_data\inspection_reports\80523_middlesbrough</v>
      </c>
      <c r="P44" t="s">
        <v>465</v>
      </c>
    </row>
    <row r="45" spans="1:16" x14ac:dyDescent="0.35">
      <c r="A45" t="s">
        <v>466</v>
      </c>
      <c r="B45" t="s">
        <v>467</v>
      </c>
      <c r="C45" t="s">
        <v>55</v>
      </c>
      <c r="D45" t="s">
        <v>468</v>
      </c>
      <c r="E45" t="s">
        <v>469</v>
      </c>
      <c r="F45" t="s">
        <v>470</v>
      </c>
      <c r="G45" s="2" t="s">
        <v>471</v>
      </c>
      <c r="H45" t="s">
        <v>22</v>
      </c>
      <c r="I45" t="s">
        <v>472</v>
      </c>
      <c r="J45" t="s">
        <v>473</v>
      </c>
      <c r="K45" t="s">
        <v>474</v>
      </c>
      <c r="L45" t="s">
        <v>37</v>
      </c>
      <c r="M45" t="s">
        <v>27</v>
      </c>
      <c r="N45" t="s">
        <v>475</v>
      </c>
      <c r="O45" s="3" t="str">
        <f>HYPERLINK(".\.\export_data\inspection_reports\80524_milton keynes", ".\export_data\inspection_reports\80524_milton keynes")</f>
        <v>.\export_data\inspection_reports\80524_milton keynes</v>
      </c>
      <c r="P45" t="s">
        <v>301</v>
      </c>
    </row>
    <row r="46" spans="1:16" x14ac:dyDescent="0.35">
      <c r="A46" t="s">
        <v>476</v>
      </c>
      <c r="B46" t="s">
        <v>477</v>
      </c>
      <c r="C46" t="s">
        <v>148</v>
      </c>
      <c r="D46" t="s">
        <v>478</v>
      </c>
      <c r="E46" t="s">
        <v>479</v>
      </c>
      <c r="F46" t="s">
        <v>480</v>
      </c>
      <c r="G46" s="2" t="s">
        <v>481</v>
      </c>
      <c r="H46" t="s">
        <v>60</v>
      </c>
      <c r="I46" t="s">
        <v>8</v>
      </c>
      <c r="J46" t="s">
        <v>482</v>
      </c>
      <c r="K46" t="s">
        <v>225</v>
      </c>
      <c r="L46" t="s">
        <v>483</v>
      </c>
      <c r="M46" t="s">
        <v>64</v>
      </c>
      <c r="N46" t="s">
        <v>484</v>
      </c>
      <c r="O46" s="3" t="str">
        <f>HYPERLINK(".\.\export_data\inspection_reports\2637539_north northamptonshire", ".\export_data\inspection_reports\2637539_north northamptonshire")</f>
        <v>.\export_data\inspection_reports\2637539_north northamptonshire</v>
      </c>
      <c r="P46" t="s">
        <v>323</v>
      </c>
    </row>
    <row r="47" spans="1:16" x14ac:dyDescent="0.35">
      <c r="A47" t="s">
        <v>485</v>
      </c>
      <c r="B47" t="s">
        <v>486</v>
      </c>
      <c r="C47" t="s">
        <v>102</v>
      </c>
      <c r="D47" t="s">
        <v>487</v>
      </c>
      <c r="E47" t="s">
        <v>488</v>
      </c>
      <c r="F47" t="s">
        <v>489</v>
      </c>
      <c r="G47" s="2" t="s">
        <v>490</v>
      </c>
      <c r="H47" t="s">
        <v>22</v>
      </c>
      <c r="L47" t="s">
        <v>491</v>
      </c>
      <c r="M47" t="s">
        <v>27</v>
      </c>
      <c r="N47" t="s">
        <v>98</v>
      </c>
      <c r="O47" s="3" t="str">
        <f>HYPERLINK(".\.\export_data\inspection_reports\80530_north yorkshire", ".\export_data\inspection_reports\80530_north yorkshire")</f>
        <v>.\export_data\inspection_reports\80530_north yorkshire</v>
      </c>
      <c r="P47" t="s">
        <v>41</v>
      </c>
    </row>
    <row r="48" spans="1:16" x14ac:dyDescent="0.35">
      <c r="A48" t="s">
        <v>492</v>
      </c>
      <c r="B48" t="s">
        <v>493</v>
      </c>
      <c r="C48" t="s">
        <v>148</v>
      </c>
      <c r="D48" t="s">
        <v>494</v>
      </c>
      <c r="E48" t="s">
        <v>495</v>
      </c>
      <c r="F48" t="s">
        <v>496</v>
      </c>
      <c r="G48" s="2" t="s">
        <v>497</v>
      </c>
      <c r="H48" t="s">
        <v>60</v>
      </c>
      <c r="I48" t="s">
        <v>498</v>
      </c>
      <c r="J48" t="s">
        <v>499</v>
      </c>
      <c r="K48" t="s">
        <v>500</v>
      </c>
      <c r="L48" t="s">
        <v>236</v>
      </c>
      <c r="M48" t="s">
        <v>64</v>
      </c>
      <c r="N48" t="s">
        <v>501</v>
      </c>
      <c r="O48" s="3" t="str">
        <f>HYPERLINK(".\.\export_data\inspection_reports\80534_nottinghamshire", ".\export_data\inspection_reports\80534_nottinghamshire")</f>
        <v>.\export_data\inspection_reports\80534_nottinghamshire</v>
      </c>
      <c r="P48" t="s">
        <v>502</v>
      </c>
    </row>
    <row r="49" spans="1:16" x14ac:dyDescent="0.35">
      <c r="A49" t="s">
        <v>503</v>
      </c>
      <c r="B49" t="s">
        <v>504</v>
      </c>
      <c r="C49" t="s">
        <v>32</v>
      </c>
      <c r="D49" t="s">
        <v>505</v>
      </c>
      <c r="E49" t="s">
        <v>506</v>
      </c>
      <c r="F49" t="s">
        <v>507</v>
      </c>
      <c r="G49" s="2" t="s">
        <v>508</v>
      </c>
      <c r="H49" t="s">
        <v>60</v>
      </c>
      <c r="I49" t="s">
        <v>393</v>
      </c>
      <c r="J49" t="s">
        <v>509</v>
      </c>
      <c r="K49" t="s">
        <v>510</v>
      </c>
      <c r="L49" t="s">
        <v>511</v>
      </c>
      <c r="M49" t="s">
        <v>64</v>
      </c>
      <c r="N49" t="s">
        <v>512</v>
      </c>
      <c r="O49" s="3" t="str">
        <f>HYPERLINK(".\.\export_data\inspection_reports\80535_oldham", ".\export_data\inspection_reports\80535_oldham")</f>
        <v>.\export_data\inspection_reports\80535_oldham</v>
      </c>
      <c r="P49" t="s">
        <v>513</v>
      </c>
    </row>
    <row r="50" spans="1:16" x14ac:dyDescent="0.35">
      <c r="A50" t="s">
        <v>514</v>
      </c>
      <c r="B50" t="s">
        <v>515</v>
      </c>
      <c r="C50" t="s">
        <v>55</v>
      </c>
      <c r="D50" t="s">
        <v>516</v>
      </c>
      <c r="E50" t="s">
        <v>517</v>
      </c>
      <c r="F50" t="s">
        <v>518</v>
      </c>
      <c r="G50" s="2" t="s">
        <v>519</v>
      </c>
      <c r="H50" t="s">
        <v>60</v>
      </c>
      <c r="I50" t="s">
        <v>267</v>
      </c>
      <c r="J50" t="s">
        <v>520</v>
      </c>
      <c r="K50" t="s">
        <v>521</v>
      </c>
      <c r="L50" t="s">
        <v>522</v>
      </c>
      <c r="M50" t="s">
        <v>64</v>
      </c>
      <c r="N50" t="s">
        <v>523</v>
      </c>
      <c r="O50" s="3" t="str">
        <f>HYPERLINK(".\.\export_data\inspection_reports\80536_oxfordshire", ".\export_data\inspection_reports\80536_oxfordshire")</f>
        <v>.\export_data\inspection_reports\80536_oxfordshire</v>
      </c>
      <c r="P50" t="s">
        <v>260</v>
      </c>
    </row>
    <row r="51" spans="1:16" x14ac:dyDescent="0.35">
      <c r="A51" t="s">
        <v>524</v>
      </c>
      <c r="B51" t="s">
        <v>525</v>
      </c>
      <c r="C51" t="s">
        <v>113</v>
      </c>
      <c r="D51" t="s">
        <v>526</v>
      </c>
      <c r="E51" t="s">
        <v>527</v>
      </c>
      <c r="F51" t="s">
        <v>528</v>
      </c>
      <c r="G51" s="2" t="s">
        <v>529</v>
      </c>
      <c r="H51" t="s">
        <v>60</v>
      </c>
      <c r="I51" t="s">
        <v>530</v>
      </c>
      <c r="J51" t="s">
        <v>509</v>
      </c>
      <c r="K51" t="s">
        <v>510</v>
      </c>
      <c r="L51" t="s">
        <v>531</v>
      </c>
      <c r="M51" t="s">
        <v>64</v>
      </c>
      <c r="N51" t="s">
        <v>512</v>
      </c>
      <c r="O51" s="3" t="str">
        <f>HYPERLINK(".\.\export_data\inspection_reports\80538_plymouth", ".\export_data\inspection_reports\80538_plymouth")</f>
        <v>.\export_data\inspection_reports\80538_plymouth</v>
      </c>
      <c r="P51" t="s">
        <v>260</v>
      </c>
    </row>
    <row r="52" spans="1:16" x14ac:dyDescent="0.35">
      <c r="A52" t="s">
        <v>532</v>
      </c>
      <c r="B52" t="s">
        <v>533</v>
      </c>
      <c r="C52" t="s">
        <v>102</v>
      </c>
      <c r="D52" t="s">
        <v>534</v>
      </c>
      <c r="E52" t="s">
        <v>535</v>
      </c>
      <c r="F52" t="s">
        <v>536</v>
      </c>
      <c r="G52" s="2" t="s">
        <v>537</v>
      </c>
      <c r="H52" t="s">
        <v>7</v>
      </c>
      <c r="I52" t="s">
        <v>8</v>
      </c>
      <c r="J52" t="s">
        <v>538</v>
      </c>
      <c r="K52" t="s">
        <v>539</v>
      </c>
      <c r="L52" t="s">
        <v>153</v>
      </c>
      <c r="M52" t="s">
        <v>12</v>
      </c>
      <c r="N52" t="s">
        <v>540</v>
      </c>
      <c r="O52" s="3" t="str">
        <f>HYPERLINK(".\.\export_data\inspection_reports\80543_rotherham", ".\export_data\inspection_reports\80543_rotherham")</f>
        <v>.\export_data\inspection_reports\80543_rotherham</v>
      </c>
      <c r="P52" t="s">
        <v>14</v>
      </c>
    </row>
    <row r="53" spans="1:16" x14ac:dyDescent="0.35">
      <c r="A53" t="s">
        <v>541</v>
      </c>
      <c r="B53" t="s">
        <v>542</v>
      </c>
      <c r="C53" t="s">
        <v>148</v>
      </c>
      <c r="D53" t="s">
        <v>543</v>
      </c>
      <c r="E53" t="s">
        <v>544</v>
      </c>
      <c r="F53" t="s">
        <v>545</v>
      </c>
      <c r="G53" s="2" t="s">
        <v>546</v>
      </c>
      <c r="H53" t="s">
        <v>7</v>
      </c>
      <c r="I53" t="s">
        <v>353</v>
      </c>
      <c r="J53" t="s">
        <v>547</v>
      </c>
      <c r="K53" t="s">
        <v>355</v>
      </c>
      <c r="L53" t="s">
        <v>548</v>
      </c>
      <c r="M53" t="s">
        <v>12</v>
      </c>
      <c r="N53" t="s">
        <v>549</v>
      </c>
      <c r="O53" s="3" t="str">
        <f>HYPERLINK(".\.\export_data\inspection_reports\80547_rutland", ".\export_data\inspection_reports\80547_rutland")</f>
        <v>.\export_data\inspection_reports\80547_rutland</v>
      </c>
      <c r="P53" t="s">
        <v>77</v>
      </c>
    </row>
    <row r="54" spans="1:16" x14ac:dyDescent="0.35">
      <c r="A54" t="s">
        <v>550</v>
      </c>
      <c r="B54" t="s">
        <v>551</v>
      </c>
      <c r="C54" t="s">
        <v>17</v>
      </c>
      <c r="D54" t="s">
        <v>552</v>
      </c>
      <c r="E54" t="s">
        <v>553</v>
      </c>
      <c r="F54" t="s">
        <v>554</v>
      </c>
      <c r="G54" s="2" t="s">
        <v>555</v>
      </c>
      <c r="H54" t="s">
        <v>22</v>
      </c>
      <c r="I54" t="s">
        <v>556</v>
      </c>
      <c r="J54" t="s">
        <v>557</v>
      </c>
      <c r="K54" t="s">
        <v>558</v>
      </c>
      <c r="L54" t="s">
        <v>559</v>
      </c>
      <c r="M54" t="s">
        <v>27</v>
      </c>
      <c r="N54" t="s">
        <v>560</v>
      </c>
      <c r="O54" s="3" t="str">
        <f>HYPERLINK(".\.\export_data\inspection_reports\80549_sandwell", ".\export_data\inspection_reports\80549_sandwell")</f>
        <v>.\export_data\inspection_reports\80549_sandwell</v>
      </c>
      <c r="P54" t="s">
        <v>123</v>
      </c>
    </row>
    <row r="55" spans="1:16" x14ac:dyDescent="0.35">
      <c r="A55" t="s">
        <v>561</v>
      </c>
      <c r="B55" t="s">
        <v>562</v>
      </c>
      <c r="C55" t="s">
        <v>102</v>
      </c>
      <c r="D55" t="s">
        <v>563</v>
      </c>
      <c r="E55" t="s">
        <v>564</v>
      </c>
      <c r="F55" t="s">
        <v>565</v>
      </c>
      <c r="G55" s="2" t="s">
        <v>566</v>
      </c>
      <c r="H55" t="s">
        <v>60</v>
      </c>
      <c r="I55" t="s">
        <v>567</v>
      </c>
      <c r="J55" t="s">
        <v>568</v>
      </c>
      <c r="K55" t="s">
        <v>569</v>
      </c>
      <c r="L55" t="s">
        <v>570</v>
      </c>
      <c r="M55" t="s">
        <v>64</v>
      </c>
      <c r="N55" t="s">
        <v>571</v>
      </c>
      <c r="O55" s="3" t="str">
        <f>HYPERLINK(".\.\export_data\inspection_reports\80551_sheffield", ".\export_data\inspection_reports\80551_sheffield")</f>
        <v>.\export_data\inspection_reports\80551_sheffield</v>
      </c>
      <c r="P55" t="s">
        <v>89</v>
      </c>
    </row>
    <row r="56" spans="1:16" x14ac:dyDescent="0.35">
      <c r="A56" t="s">
        <v>572</v>
      </c>
      <c r="B56" t="s">
        <v>573</v>
      </c>
      <c r="C56" t="s">
        <v>55</v>
      </c>
      <c r="D56" t="s">
        <v>574</v>
      </c>
      <c r="E56" t="s">
        <v>575</v>
      </c>
      <c r="F56" t="s">
        <v>576</v>
      </c>
      <c r="G56" s="2" t="s">
        <v>577</v>
      </c>
      <c r="H56" t="s">
        <v>445</v>
      </c>
      <c r="I56" t="s">
        <v>8</v>
      </c>
      <c r="J56" t="s">
        <v>130</v>
      </c>
      <c r="K56" t="s">
        <v>131</v>
      </c>
      <c r="L56" t="s">
        <v>578</v>
      </c>
      <c r="M56" t="s">
        <v>97</v>
      </c>
      <c r="N56" t="s">
        <v>345</v>
      </c>
      <c r="O56" s="3" t="str">
        <f>HYPERLINK(".\.\export_data\inspection_reports\80553_slough", ".\export_data\inspection_reports\80553_slough")</f>
        <v>.\export_data\inspection_reports\80553_slough</v>
      </c>
      <c r="P56" t="s">
        <v>579</v>
      </c>
    </row>
    <row r="57" spans="1:16" x14ac:dyDescent="0.35">
      <c r="A57" t="s">
        <v>580</v>
      </c>
      <c r="B57" t="s">
        <v>581</v>
      </c>
      <c r="C57" t="s">
        <v>113</v>
      </c>
      <c r="D57" t="s">
        <v>582</v>
      </c>
      <c r="E57" t="s">
        <v>583</v>
      </c>
      <c r="F57" t="s">
        <v>584</v>
      </c>
      <c r="G57" s="2" t="s">
        <v>585</v>
      </c>
      <c r="H57" t="s">
        <v>22</v>
      </c>
      <c r="I57" t="s">
        <v>586</v>
      </c>
      <c r="J57" t="s">
        <v>587</v>
      </c>
      <c r="K57" t="s">
        <v>588</v>
      </c>
      <c r="L57" t="s">
        <v>589</v>
      </c>
      <c r="M57" t="s">
        <v>97</v>
      </c>
      <c r="N57" t="s">
        <v>345</v>
      </c>
      <c r="O57" s="3" t="str">
        <f>HYPERLINK(".\.\export_data\inspection_reports\80556_south gloucestershire", ".\export_data\inspection_reports\80556_south gloucestershire")</f>
        <v>.\export_data\inspection_reports\80556_south gloucestershire</v>
      </c>
      <c r="P57" t="s">
        <v>590</v>
      </c>
    </row>
    <row r="58" spans="1:16" x14ac:dyDescent="0.35">
      <c r="A58" t="s">
        <v>591</v>
      </c>
      <c r="B58" t="s">
        <v>592</v>
      </c>
      <c r="C58" t="s">
        <v>55</v>
      </c>
      <c r="D58" t="s">
        <v>593</v>
      </c>
      <c r="E58" t="s">
        <v>594</v>
      </c>
      <c r="F58" t="s">
        <v>595</v>
      </c>
      <c r="G58" s="2" t="s">
        <v>596</v>
      </c>
      <c r="H58" t="s">
        <v>22</v>
      </c>
      <c r="I58" t="s">
        <v>8</v>
      </c>
      <c r="J58" t="s">
        <v>597</v>
      </c>
      <c r="K58" t="s">
        <v>598</v>
      </c>
      <c r="L58" t="s">
        <v>599</v>
      </c>
      <c r="M58" t="s">
        <v>27</v>
      </c>
      <c r="N58" t="s">
        <v>600</v>
      </c>
      <c r="O58" s="3" t="str">
        <f>HYPERLINK(".\.\export_data\inspection_reports\80558_southampton", ".\export_data\inspection_reports\80558_southampton")</f>
        <v>.\export_data\inspection_reports\80558_southampton</v>
      </c>
      <c r="P58" t="s">
        <v>145</v>
      </c>
    </row>
    <row r="59" spans="1:16" x14ac:dyDescent="0.35">
      <c r="A59" t="s">
        <v>601</v>
      </c>
      <c r="B59" t="s">
        <v>602</v>
      </c>
      <c r="C59" t="s">
        <v>2</v>
      </c>
      <c r="D59" t="s">
        <v>603</v>
      </c>
      <c r="E59" t="s">
        <v>604</v>
      </c>
      <c r="F59" t="s">
        <v>605</v>
      </c>
      <c r="G59" s="2" t="s">
        <v>606</v>
      </c>
      <c r="H59" t="s">
        <v>22</v>
      </c>
      <c r="I59" t="s">
        <v>607</v>
      </c>
      <c r="J59" t="s">
        <v>608</v>
      </c>
      <c r="K59" t="s">
        <v>609</v>
      </c>
      <c r="L59" t="s">
        <v>610</v>
      </c>
      <c r="M59" t="s">
        <v>27</v>
      </c>
      <c r="N59" t="s">
        <v>611</v>
      </c>
      <c r="O59" s="3" t="str">
        <f>HYPERLINK(".\.\export_data\inspection_reports\80559_southend-on-sea", ".\export_data\inspection_reports\80559_southend-on-sea")</f>
        <v>.\export_data\inspection_reports\80559_southend-on-sea</v>
      </c>
      <c r="P59" t="s">
        <v>612</v>
      </c>
    </row>
    <row r="60" spans="1:16" x14ac:dyDescent="0.35">
      <c r="A60" t="s">
        <v>613</v>
      </c>
      <c r="B60" t="s">
        <v>614</v>
      </c>
      <c r="C60" t="s">
        <v>17</v>
      </c>
      <c r="D60" t="s">
        <v>615</v>
      </c>
      <c r="E60" t="s">
        <v>616</v>
      </c>
      <c r="F60" t="s">
        <v>617</v>
      </c>
      <c r="G60" s="2" t="s">
        <v>618</v>
      </c>
      <c r="H60" t="s">
        <v>22</v>
      </c>
      <c r="I60" t="s">
        <v>619</v>
      </c>
      <c r="J60" t="s">
        <v>365</v>
      </c>
      <c r="K60" t="s">
        <v>268</v>
      </c>
      <c r="L60" t="s">
        <v>366</v>
      </c>
      <c r="M60" t="s">
        <v>27</v>
      </c>
      <c r="N60" t="s">
        <v>620</v>
      </c>
      <c r="O60" s="3" t="str">
        <f>HYPERLINK(".\.\export_data\inspection_reports\80564_stoke-on-trent", ".\export_data\inspection_reports\80564_stoke-on-trent")</f>
        <v>.\export_data\inspection_reports\80564_stoke-on-trent</v>
      </c>
      <c r="P60" t="s">
        <v>301</v>
      </c>
    </row>
    <row r="61" spans="1:16" x14ac:dyDescent="0.35">
      <c r="A61" t="s">
        <v>621</v>
      </c>
      <c r="B61" t="s">
        <v>622</v>
      </c>
      <c r="C61" t="s">
        <v>2</v>
      </c>
      <c r="D61" t="s">
        <v>623</v>
      </c>
      <c r="E61" t="s">
        <v>624</v>
      </c>
      <c r="F61" t="s">
        <v>625</v>
      </c>
      <c r="G61" s="2" t="s">
        <v>626</v>
      </c>
      <c r="H61" t="s">
        <v>60</v>
      </c>
      <c r="I61" t="s">
        <v>627</v>
      </c>
      <c r="J61" t="s">
        <v>628</v>
      </c>
      <c r="K61" t="s">
        <v>629</v>
      </c>
      <c r="L61" t="s">
        <v>630</v>
      </c>
      <c r="M61" t="s">
        <v>64</v>
      </c>
      <c r="N61" t="s">
        <v>96</v>
      </c>
      <c r="O61" s="3" t="str">
        <f>HYPERLINK(".\.\export_data\inspection_reports\80565_suffolk", ".\export_data\inspection_reports\80565_suffolk")</f>
        <v>.\export_data\inspection_reports\80565_suffolk</v>
      </c>
      <c r="P61" t="s">
        <v>154</v>
      </c>
    </row>
    <row r="62" spans="1:16" x14ac:dyDescent="0.35">
      <c r="A62" t="s">
        <v>631</v>
      </c>
      <c r="B62" t="s">
        <v>632</v>
      </c>
      <c r="C62" t="s">
        <v>55</v>
      </c>
      <c r="D62" t="s">
        <v>633</v>
      </c>
      <c r="E62" t="s">
        <v>634</v>
      </c>
      <c r="F62" t="s">
        <v>635</v>
      </c>
      <c r="G62" s="2" t="s">
        <v>636</v>
      </c>
      <c r="H62" t="s">
        <v>22</v>
      </c>
      <c r="I62" t="s">
        <v>556</v>
      </c>
      <c r="J62" t="s">
        <v>637</v>
      </c>
      <c r="K62" t="s">
        <v>638</v>
      </c>
      <c r="L62" t="s">
        <v>224</v>
      </c>
      <c r="M62" t="s">
        <v>27</v>
      </c>
      <c r="N62" t="s">
        <v>639</v>
      </c>
      <c r="O62" s="3" t="str">
        <f>HYPERLINK(".\.\export_data\inspection_reports\80567_surrey", ".\export_data\inspection_reports\80567_surrey")</f>
        <v>.\export_data\inspection_reports\80567_surrey</v>
      </c>
      <c r="P62" t="s">
        <v>123</v>
      </c>
    </row>
    <row r="63" spans="1:16" x14ac:dyDescent="0.35">
      <c r="A63" t="s">
        <v>640</v>
      </c>
      <c r="B63" t="s">
        <v>641</v>
      </c>
      <c r="C63" t="s">
        <v>32</v>
      </c>
      <c r="D63" t="s">
        <v>642</v>
      </c>
      <c r="E63" t="s">
        <v>643</v>
      </c>
      <c r="F63" t="s">
        <v>644</v>
      </c>
      <c r="G63" s="2" t="s">
        <v>645</v>
      </c>
      <c r="H63" t="s">
        <v>60</v>
      </c>
      <c r="I63" t="s">
        <v>646</v>
      </c>
      <c r="J63" t="s">
        <v>416</v>
      </c>
      <c r="K63" t="s">
        <v>417</v>
      </c>
      <c r="L63" t="s">
        <v>647</v>
      </c>
      <c r="M63" t="s">
        <v>64</v>
      </c>
      <c r="N63" t="s">
        <v>419</v>
      </c>
      <c r="O63" s="3" t="str">
        <f>HYPERLINK(".\.\export_data\inspection_reports\80569_tameside", ".\export_data\inspection_reports\80569_tameside")</f>
        <v>.\export_data\inspection_reports\80569_tameside</v>
      </c>
      <c r="P63" t="s">
        <v>89</v>
      </c>
    </row>
    <row r="64" spans="1:16" x14ac:dyDescent="0.35">
      <c r="A64" t="s">
        <v>648</v>
      </c>
      <c r="B64" t="s">
        <v>649</v>
      </c>
      <c r="C64" t="s">
        <v>17</v>
      </c>
      <c r="D64" t="s">
        <v>650</v>
      </c>
      <c r="E64" t="s">
        <v>651</v>
      </c>
      <c r="F64" t="s">
        <v>652</v>
      </c>
      <c r="G64" s="2" t="s">
        <v>653</v>
      </c>
      <c r="H64" t="s">
        <v>7</v>
      </c>
      <c r="I64" t="s">
        <v>654</v>
      </c>
      <c r="J64" t="s">
        <v>342</v>
      </c>
      <c r="K64" t="s">
        <v>343</v>
      </c>
      <c r="L64" t="s">
        <v>557</v>
      </c>
      <c r="M64" t="s">
        <v>12</v>
      </c>
      <c r="N64" t="s">
        <v>655</v>
      </c>
      <c r="O64" s="3" t="str">
        <f>HYPERLINK(".\.\export_data\inspection_reports\80570_telford &amp; wrekin", ".\export_data\inspection_reports\80570_telford &amp; wrekin")</f>
        <v>.\export_data\inspection_reports\80570_telford &amp; wrekin</v>
      </c>
      <c r="P64" t="s">
        <v>656</v>
      </c>
    </row>
    <row r="65" spans="1:16" x14ac:dyDescent="0.35">
      <c r="A65" t="s">
        <v>657</v>
      </c>
      <c r="B65" t="s">
        <v>658</v>
      </c>
      <c r="C65" t="s">
        <v>113</v>
      </c>
      <c r="D65" t="s">
        <v>659</v>
      </c>
      <c r="E65" t="s">
        <v>660</v>
      </c>
      <c r="F65" t="s">
        <v>661</v>
      </c>
      <c r="G65" s="2" t="s">
        <v>662</v>
      </c>
      <c r="H65" t="s">
        <v>60</v>
      </c>
      <c r="I65" t="s">
        <v>663</v>
      </c>
      <c r="J65" t="s">
        <v>664</v>
      </c>
      <c r="K65" t="s">
        <v>665</v>
      </c>
      <c r="L65" t="s">
        <v>666</v>
      </c>
      <c r="M65" t="s">
        <v>64</v>
      </c>
      <c r="N65" t="s">
        <v>667</v>
      </c>
      <c r="O65" s="3" t="str">
        <f>HYPERLINK(".\.\export_data\inspection_reports\80572_torbay", ".\export_data\inspection_reports\80572_torbay")</f>
        <v>.\export_data\inspection_reports\80572_torbay</v>
      </c>
      <c r="P65" t="s">
        <v>668</v>
      </c>
    </row>
    <row r="66" spans="1:16" x14ac:dyDescent="0.35">
      <c r="A66" t="s">
        <v>669</v>
      </c>
      <c r="B66" t="s">
        <v>670</v>
      </c>
      <c r="C66" t="s">
        <v>32</v>
      </c>
      <c r="D66" t="s">
        <v>671</v>
      </c>
      <c r="E66" t="s">
        <v>672</v>
      </c>
      <c r="F66" t="s">
        <v>673</v>
      </c>
      <c r="G66" s="2" t="s">
        <v>674</v>
      </c>
      <c r="H66" t="s">
        <v>22</v>
      </c>
      <c r="I66" t="s">
        <v>8</v>
      </c>
      <c r="J66" t="s">
        <v>675</v>
      </c>
      <c r="K66" t="s">
        <v>676</v>
      </c>
      <c r="L66" t="s">
        <v>677</v>
      </c>
      <c r="M66" t="s">
        <v>27</v>
      </c>
      <c r="N66" t="s">
        <v>678</v>
      </c>
      <c r="O66" s="3" t="str">
        <f>HYPERLINK(".\.\export_data\inspection_reports\80573_trafford", ".\export_data\inspection_reports\80573_trafford")</f>
        <v>.\export_data\inspection_reports\80573_trafford</v>
      </c>
      <c r="P66" t="s">
        <v>123</v>
      </c>
    </row>
    <row r="67" spans="1:16" x14ac:dyDescent="0.35">
      <c r="A67" t="s">
        <v>679</v>
      </c>
      <c r="B67" t="s">
        <v>680</v>
      </c>
      <c r="C67" t="s">
        <v>32</v>
      </c>
      <c r="D67" t="s">
        <v>681</v>
      </c>
      <c r="E67" t="s">
        <v>682</v>
      </c>
      <c r="F67" t="s">
        <v>683</v>
      </c>
      <c r="G67" s="2" t="s">
        <v>684</v>
      </c>
      <c r="H67" t="s">
        <v>22</v>
      </c>
      <c r="I67" t="s">
        <v>685</v>
      </c>
      <c r="J67" t="s">
        <v>119</v>
      </c>
      <c r="K67" t="s">
        <v>120</v>
      </c>
      <c r="L67" t="s">
        <v>121</v>
      </c>
      <c r="M67" t="s">
        <v>27</v>
      </c>
      <c r="N67" t="s">
        <v>122</v>
      </c>
      <c r="O67" s="3" t="str">
        <f>HYPERLINK(".\.\export_data\inspection_reports\80575_warrington", ".\export_data\inspection_reports\80575_warrington")</f>
        <v>.\export_data\inspection_reports\80575_warrington</v>
      </c>
      <c r="P67" t="s">
        <v>186</v>
      </c>
    </row>
    <row r="68" spans="1:16" x14ac:dyDescent="0.35">
      <c r="A68" t="s">
        <v>686</v>
      </c>
      <c r="B68" t="s">
        <v>687</v>
      </c>
      <c r="C68" t="s">
        <v>148</v>
      </c>
      <c r="D68" t="s">
        <v>688</v>
      </c>
      <c r="E68" t="s">
        <v>689</v>
      </c>
      <c r="F68" t="s">
        <v>690</v>
      </c>
      <c r="G68" s="2" t="s">
        <v>691</v>
      </c>
      <c r="H68" t="s">
        <v>60</v>
      </c>
      <c r="I68" t="s">
        <v>8</v>
      </c>
      <c r="J68" t="s">
        <v>107</v>
      </c>
      <c r="K68" t="s">
        <v>108</v>
      </c>
      <c r="L68" t="s">
        <v>310</v>
      </c>
      <c r="M68" t="s">
        <v>64</v>
      </c>
      <c r="N68" t="s">
        <v>692</v>
      </c>
      <c r="O68" s="3" t="str">
        <f>HYPERLINK(".\.\export_data\inspection_reports\2637548_west northamptonshire", ".\export_data\inspection_reports\2637548_west northamptonshire")</f>
        <v>.\export_data\inspection_reports\2637548_west northamptonshire</v>
      </c>
      <c r="P68" t="s">
        <v>323</v>
      </c>
    </row>
    <row r="69" spans="1:16" x14ac:dyDescent="0.35">
      <c r="A69" t="s">
        <v>693</v>
      </c>
      <c r="B69" t="s">
        <v>694</v>
      </c>
      <c r="C69" t="s">
        <v>55</v>
      </c>
      <c r="D69" t="s">
        <v>695</v>
      </c>
      <c r="E69" t="s">
        <v>696</v>
      </c>
      <c r="F69" t="s">
        <v>697</v>
      </c>
      <c r="G69" s="2" t="s">
        <v>698</v>
      </c>
      <c r="H69" t="s">
        <v>22</v>
      </c>
      <c r="I69" t="s">
        <v>8</v>
      </c>
      <c r="J69" t="s">
        <v>699</v>
      </c>
      <c r="K69" t="s">
        <v>700</v>
      </c>
      <c r="L69" t="s">
        <v>701</v>
      </c>
      <c r="M69" t="s">
        <v>27</v>
      </c>
      <c r="N69" t="s">
        <v>702</v>
      </c>
      <c r="O69" s="3" t="str">
        <f>HYPERLINK(".\.\export_data\inspection_reports\80578_west sussex", ".\export_data\inspection_reports\80578_west sussex")</f>
        <v>.\export_data\inspection_reports\80578_west sussex</v>
      </c>
      <c r="P69" t="s">
        <v>41</v>
      </c>
    </row>
    <row r="70" spans="1:16" x14ac:dyDescent="0.35">
      <c r="A70" t="s">
        <v>703</v>
      </c>
      <c r="B70" t="s">
        <v>704</v>
      </c>
      <c r="C70" t="s">
        <v>32</v>
      </c>
      <c r="D70" t="s">
        <v>126</v>
      </c>
      <c r="E70" t="s">
        <v>705</v>
      </c>
      <c r="F70" t="s">
        <v>706</v>
      </c>
      <c r="G70" s="2" t="s">
        <v>707</v>
      </c>
      <c r="H70" t="s">
        <v>22</v>
      </c>
      <c r="I70" t="s">
        <v>8</v>
      </c>
      <c r="J70" t="s">
        <v>61</v>
      </c>
      <c r="K70" t="s">
        <v>62</v>
      </c>
      <c r="L70" t="s">
        <v>708</v>
      </c>
      <c r="M70" t="s">
        <v>27</v>
      </c>
      <c r="N70" t="s">
        <v>709</v>
      </c>
      <c r="O70" s="3" t="str">
        <f>HYPERLINK(".\.\export_data\inspection_reports\2733698_westmorland and furness", ".\export_data\inspection_reports\2733698_westmorland and furness")</f>
        <v>.\export_data\inspection_reports\2733698_westmorland and furness</v>
      </c>
      <c r="P70" t="s">
        <v>301</v>
      </c>
    </row>
    <row r="71" spans="1:16" x14ac:dyDescent="0.35">
      <c r="A71" t="s">
        <v>710</v>
      </c>
      <c r="B71" t="s">
        <v>711</v>
      </c>
      <c r="C71" t="s">
        <v>113</v>
      </c>
      <c r="D71" t="s">
        <v>712</v>
      </c>
      <c r="E71" t="s">
        <v>713</v>
      </c>
      <c r="F71" t="s">
        <v>714</v>
      </c>
      <c r="G71" s="2" t="s">
        <v>715</v>
      </c>
      <c r="H71" t="s">
        <v>7</v>
      </c>
      <c r="I71" t="s">
        <v>8</v>
      </c>
      <c r="J71" t="s">
        <v>716</v>
      </c>
      <c r="K71" t="s">
        <v>717</v>
      </c>
      <c r="L71" t="s">
        <v>247</v>
      </c>
      <c r="M71" t="s">
        <v>97</v>
      </c>
      <c r="N71" t="s">
        <v>345</v>
      </c>
      <c r="O71" s="3" t="str">
        <f>HYPERLINK(".\.\export_data\inspection_reports\80580_wiltshire", ".\export_data\inspection_reports\80580_wiltshire")</f>
        <v>.\export_data\inspection_reports\80580_wiltshire</v>
      </c>
      <c r="P71" t="s">
        <v>718</v>
      </c>
    </row>
    <row r="72" spans="1:16" x14ac:dyDescent="0.35">
      <c r="A72" t="s">
        <v>719</v>
      </c>
      <c r="B72" t="s">
        <v>720</v>
      </c>
      <c r="C72" t="s">
        <v>32</v>
      </c>
      <c r="D72" t="s">
        <v>721</v>
      </c>
      <c r="E72" t="s">
        <v>722</v>
      </c>
      <c r="F72" t="s">
        <v>723</v>
      </c>
      <c r="G72" s="2" t="s">
        <v>724</v>
      </c>
      <c r="H72" t="s">
        <v>60</v>
      </c>
      <c r="I72" t="s">
        <v>8</v>
      </c>
      <c r="J72" t="s">
        <v>331</v>
      </c>
      <c r="K72" t="s">
        <v>332</v>
      </c>
      <c r="L72" t="s">
        <v>725</v>
      </c>
      <c r="M72" t="s">
        <v>64</v>
      </c>
      <c r="N72" t="s">
        <v>726</v>
      </c>
      <c r="O72" s="3" t="str">
        <f>HYPERLINK(".\.\export_data\inspection_reports\80581_wirral", ".\export_data\inspection_reports\80581_wirral")</f>
        <v>.\export_data\inspection_reports\80581_wirral</v>
      </c>
      <c r="P72" t="s">
        <v>66</v>
      </c>
    </row>
    <row r="73" spans="1:16" x14ac:dyDescent="0.35">
      <c r="A73" t="s">
        <v>727</v>
      </c>
      <c r="B73" t="s">
        <v>728</v>
      </c>
      <c r="C73" t="s">
        <v>17</v>
      </c>
      <c r="D73" t="s">
        <v>729</v>
      </c>
      <c r="E73" t="s">
        <v>730</v>
      </c>
      <c r="F73" t="s">
        <v>731</v>
      </c>
      <c r="G73" s="2" t="s">
        <v>732</v>
      </c>
      <c r="H73" t="s">
        <v>60</v>
      </c>
      <c r="I73" t="s">
        <v>733</v>
      </c>
      <c r="J73" t="s">
        <v>734</v>
      </c>
      <c r="K73" t="s">
        <v>735</v>
      </c>
      <c r="L73" t="s">
        <v>736</v>
      </c>
      <c r="M73" t="s">
        <v>64</v>
      </c>
      <c r="N73" t="s">
        <v>737</v>
      </c>
      <c r="O73" s="3" t="str">
        <f>HYPERLINK(".\.\export_data\inspection_reports\80584_worcestershire", ".\export_data\inspection_reports\80584_worcestershire")</f>
        <v>.\export_data\inspection_reports\80584_worcestershire</v>
      </c>
      <c r="P73" t="s">
        <v>323</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69" r:id="rId68" xr:uid="{00000000-0004-0000-0000-000043000000}"/>
    <hyperlink ref="G70" r:id="rId69" xr:uid="{00000000-0004-0000-0000-000044000000}"/>
    <hyperlink ref="G71" r:id="rId70" xr:uid="{00000000-0004-0000-0000-000045000000}"/>
    <hyperlink ref="G72" r:id="rId71" xr:uid="{00000000-0004-0000-0000-000046000000}"/>
    <hyperlink ref="G73" r:id="rId72" xr:uid="{00000000-0004-0000-0000-00004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ofsted_cs_send_inspections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Good</dc:creator>
  <cp:lastModifiedBy>Vanessa Good</cp:lastModifiedBy>
  <dcterms:created xsi:type="dcterms:W3CDTF">2025-11-10T12:38:59Z</dcterms:created>
  <dcterms:modified xsi:type="dcterms:W3CDTF">2025-12-10T11:36:30Z</dcterms:modified>
</cp:coreProperties>
</file>